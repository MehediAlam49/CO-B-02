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7\"/>
    </mc:Choice>
  </mc:AlternateContent>
  <xr:revisionPtr revIDLastSave="0" documentId="13_ncr:1_{46928FA3-0A5A-4601-876A-A4DAEA3779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I17" i="1"/>
  <c r="H17" i="1"/>
  <c r="G17" i="1"/>
  <c r="F17" i="1"/>
  <c r="E17" i="1"/>
  <c r="D17" i="1"/>
  <c r="C17" i="1"/>
  <c r="K5" i="1"/>
  <c r="K6" i="1"/>
  <c r="K7" i="1"/>
  <c r="K8" i="1"/>
  <c r="K9" i="1"/>
  <c r="K10" i="1"/>
  <c r="K11" i="1"/>
  <c r="K12" i="1"/>
  <c r="K13" i="1"/>
  <c r="J5" i="1"/>
  <c r="J6" i="1"/>
  <c r="J7" i="1"/>
  <c r="J8" i="1"/>
  <c r="J9" i="1"/>
  <c r="J10" i="1"/>
  <c r="J11" i="1"/>
  <c r="J12" i="1"/>
  <c r="J13" i="1"/>
  <c r="I5" i="1"/>
  <c r="I6" i="1"/>
  <c r="I7" i="1"/>
  <c r="I8" i="1"/>
  <c r="I9" i="1"/>
  <c r="I10" i="1"/>
  <c r="I11" i="1"/>
  <c r="I12" i="1"/>
  <c r="I13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I4" i="1" s="1"/>
  <c r="J4" i="1" l="1"/>
  <c r="K4" i="1" s="1"/>
</calcChain>
</file>

<file path=xl/sharedStrings.xml><?xml version="1.0" encoding="utf-8"?>
<sst xmlns="http://schemas.openxmlformats.org/spreadsheetml/2006/main" count="63" uniqueCount="45">
  <si>
    <t>Weekly Wages Sheet for Worker</t>
  </si>
  <si>
    <t>SI
No</t>
  </si>
  <si>
    <t>Emp_ID</t>
  </si>
  <si>
    <t>Name</t>
  </si>
  <si>
    <t>Designation</t>
  </si>
  <si>
    <t>Hours/Week</t>
  </si>
  <si>
    <t>Basic
Wages</t>
  </si>
  <si>
    <t>Overtime
Wages</t>
  </si>
  <si>
    <t>Medical
Allowance</t>
  </si>
  <si>
    <t>Groos
Amount</t>
  </si>
  <si>
    <t>IT</t>
  </si>
  <si>
    <t>Net
Amount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</si>
  <si>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</si>
  <si>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</si>
  <si>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</si>
  <si>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</si>
  <si>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</si>
  <si>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</si>
  <si>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</si>
  <si>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</si>
  <si>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</si>
  <si>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</si>
  <si>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</si>
  <si>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</si>
  <si>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</si>
  <si>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</si>
  <si>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</si>
  <si>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</si>
  <si>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</si>
  <si>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</si>
  <si>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</si>
  <si>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</si>
  <si>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</si>
  <si>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</si>
  <si>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</si>
  <si>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</si>
  <si>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</si>
  <si>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</si>
  <si>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</si>
  <si>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</si>
  <si>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E101009</t>
  </si>
  <si>
    <t>E101010</t>
  </si>
  <si>
    <t>Grade-1</t>
  </si>
  <si>
    <t>Grade-3</t>
  </si>
  <si>
    <t>Grade-2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</si>
</sst>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M7" sqref="M7"/>
    </sheetView>
  </sheetViews>
  <sheetFormatPr defaultRowHeight="14.5" x14ac:dyDescent="0.35"/>
  <cols>
    <col min="4" max="4" width="11.1796875" bestFit="1" customWidth="1"/>
    <col min="5" max="5" width="11.6328125" bestFit="1" customWidth="1"/>
    <col min="8" max="8" width="11.26953125" customWidth="1"/>
  </cols>
  <sheetData>
    <row r="1" spans="1:12" ht="18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ht="42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7"/>
    </row>
    <row r="4" spans="1:12" x14ac:dyDescent="0.35">
      <c r="A4" s="4" t="s">
        <v>12</v>
      </c>
      <c r="B4" s="3" t="s">
        <v>32</v>
      </c>
      <c r="C4" s="3" t="s">
        <v>22</v>
      </c>
      <c r="D4" s="3" t="s">
        <v>42</v>
      </c>
      <c r="E4" s="3">
        <v>40</v>
      </c>
      <c r="F4" s="3">
        <f>MIN(E4,40)*IF(D4="Grade-1",150,IF(D4="Grade-2",125,IF(D4="Grade-3",100,"-")))</f>
        <v>6000</v>
      </c>
      <c r="G4" s="3">
        <f>IF(E4&gt;40,(E4-40)*200,0)</f>
        <v>0</v>
      </c>
      <c r="H4" s="3">
        <v>500</v>
      </c>
      <c r="I4" s="3">
        <f>SUM(F4,G4)</f>
        <v>6000</v>
      </c>
      <c r="J4" s="3">
        <f>I4*10%</f>
        <v>600</v>
      </c>
      <c r="K4" s="3">
        <f>SUM(I4,H4)-J4</f>
        <v>5900</v>
      </c>
    </row>
    <row r="5" spans="1:12" x14ac:dyDescent="0.35">
      <c r="A5" s="4" t="s">
        <v>13</v>
      </c>
      <c r="B5" s="3" t="s">
        <v>33</v>
      </c>
      <c r="C5" s="3" t="s">
        <v>23</v>
      </c>
      <c r="D5" s="3" t="s">
        <v>43</v>
      </c>
      <c r="E5" s="3">
        <v>55</v>
      </c>
      <c r="F5" s="3">
        <f t="shared" ref="F5:F13" si="0">MIN(E5,40)*IF(D5="Grade-1",150,IF(D5="Grade-2",125,IF(D5="Grade-3",100,"-")))</f>
        <v>4000</v>
      </c>
      <c r="G5" s="3">
        <f t="shared" ref="G5:G13" si="1">IF(E5&gt;40,(E5-40)*200,0)</f>
        <v>3000</v>
      </c>
      <c r="H5" s="3">
        <v>500</v>
      </c>
      <c r="I5" s="3">
        <f t="shared" ref="I5:I13" si="2">SUM(F5,G5)</f>
        <v>7000</v>
      </c>
      <c r="J5" s="3">
        <f t="shared" ref="J5:J13" si="3">I5*10%</f>
        <v>700</v>
      </c>
      <c r="K5" s="3">
        <f t="shared" ref="K5:K13" si="4">SUM(I5,H5)-J5</f>
        <v>6800</v>
      </c>
    </row>
    <row r="6" spans="1:12" x14ac:dyDescent="0.35">
      <c r="A6" s="4" t="s">
        <v>14</v>
      </c>
      <c r="B6" s="3" t="s">
        <v>34</v>
      </c>
      <c r="C6" s="3" t="s">
        <v>24</v>
      </c>
      <c r="D6" s="3" t="s">
        <v>44</v>
      </c>
      <c r="E6" s="3">
        <v>43</v>
      </c>
      <c r="F6" s="3">
        <f t="shared" si="0"/>
        <v>5000</v>
      </c>
      <c r="G6" s="3">
        <f t="shared" si="1"/>
        <v>600</v>
      </c>
      <c r="H6" s="3">
        <v>500</v>
      </c>
      <c r="I6" s="3">
        <f t="shared" si="2"/>
        <v>5600</v>
      </c>
      <c r="J6" s="3">
        <f t="shared" si="3"/>
        <v>560</v>
      </c>
      <c r="K6" s="3">
        <f t="shared" si="4"/>
        <v>5540</v>
      </c>
    </row>
    <row r="7" spans="1:12" x14ac:dyDescent="0.35">
      <c r="A7" s="4" t="s">
        <v>15</v>
      </c>
      <c r="B7" s="3" t="s">
        <v>35</v>
      </c>
      <c r="C7" s="3" t="s">
        <v>25</v>
      </c>
      <c r="D7" s="3" t="s">
        <v>43</v>
      </c>
      <c r="E7" s="3">
        <v>44</v>
      </c>
      <c r="F7" s="3">
        <f t="shared" si="0"/>
        <v>4000</v>
      </c>
      <c r="G7" s="3">
        <f t="shared" si="1"/>
        <v>800</v>
      </c>
      <c r="H7" s="3">
        <v>500</v>
      </c>
      <c r="I7" s="3">
        <f t="shared" si="2"/>
        <v>4800</v>
      </c>
      <c r="J7" s="3">
        <f t="shared" si="3"/>
        <v>480</v>
      </c>
      <c r="K7" s="3">
        <f t="shared" si="4"/>
        <v>4820</v>
      </c>
    </row>
    <row r="8" spans="1:12" x14ac:dyDescent="0.35">
      <c r="A8" s="4" t="s">
        <v>16</v>
      </c>
      <c r="B8" s="3" t="s">
        <v>36</v>
      </c>
      <c r="C8" s="3" t="s">
        <v>26</v>
      </c>
      <c r="D8" s="3" t="s">
        <v>42</v>
      </c>
      <c r="E8" s="3">
        <v>48</v>
      </c>
      <c r="F8" s="3">
        <f t="shared" si="0"/>
        <v>6000</v>
      </c>
      <c r="G8" s="3">
        <f t="shared" si="1"/>
        <v>1600</v>
      </c>
      <c r="H8" s="3">
        <v>500</v>
      </c>
      <c r="I8" s="3">
        <f t="shared" si="2"/>
        <v>7600</v>
      </c>
      <c r="J8" s="3">
        <f t="shared" si="3"/>
        <v>760</v>
      </c>
      <c r="K8" s="3">
        <f t="shared" si="4"/>
        <v>7340</v>
      </c>
    </row>
    <row r="9" spans="1:12" x14ac:dyDescent="0.35">
      <c r="A9" s="4" t="s">
        <v>17</v>
      </c>
      <c r="B9" s="3" t="s">
        <v>37</v>
      </c>
      <c r="C9" s="3" t="s">
        <v>27</v>
      </c>
      <c r="D9" s="3" t="s">
        <v>43</v>
      </c>
      <c r="E9" s="3">
        <v>54</v>
      </c>
      <c r="F9" s="3">
        <f t="shared" si="0"/>
        <v>4000</v>
      </c>
      <c r="G9" s="3">
        <f t="shared" si="1"/>
        <v>2800</v>
      </c>
      <c r="H9" s="3">
        <v>500</v>
      </c>
      <c r="I9" s="3">
        <f t="shared" si="2"/>
        <v>6800</v>
      </c>
      <c r="J9" s="3">
        <f t="shared" si="3"/>
        <v>680</v>
      </c>
      <c r="K9" s="3">
        <f t="shared" si="4"/>
        <v>6620</v>
      </c>
    </row>
    <row r="10" spans="1:12" x14ac:dyDescent="0.35">
      <c r="A10" s="4" t="s">
        <v>18</v>
      </c>
      <c r="B10" s="3" t="s">
        <v>38</v>
      </c>
      <c r="C10" s="3" t="s">
        <v>28</v>
      </c>
      <c r="D10" s="3" t="s">
        <v>44</v>
      </c>
      <c r="E10" s="3">
        <v>45</v>
      </c>
      <c r="F10" s="3">
        <f t="shared" si="0"/>
        <v>5000</v>
      </c>
      <c r="G10" s="3">
        <f t="shared" si="1"/>
        <v>1000</v>
      </c>
      <c r="H10" s="3">
        <v>500</v>
      </c>
      <c r="I10" s="3">
        <f t="shared" si="2"/>
        <v>6000</v>
      </c>
      <c r="J10" s="3">
        <f t="shared" si="3"/>
        <v>600</v>
      </c>
      <c r="K10" s="3">
        <f t="shared" si="4"/>
        <v>5900</v>
      </c>
    </row>
    <row r="11" spans="1:12" x14ac:dyDescent="0.35">
      <c r="A11" s="4" t="s">
        <v>19</v>
      </c>
      <c r="B11" s="3" t="s">
        <v>39</v>
      </c>
      <c r="C11" s="3" t="s">
        <v>29</v>
      </c>
      <c r="D11" s="3" t="s">
        <v>43</v>
      </c>
      <c r="E11" s="3">
        <v>35</v>
      </c>
      <c r="F11" s="3">
        <f t="shared" si="0"/>
        <v>3500</v>
      </c>
      <c r="G11" s="3">
        <f t="shared" si="1"/>
        <v>0</v>
      </c>
      <c r="H11" s="3">
        <v>500</v>
      </c>
      <c r="I11" s="3">
        <f t="shared" si="2"/>
        <v>3500</v>
      </c>
      <c r="J11" s="3">
        <f t="shared" si="3"/>
        <v>350</v>
      </c>
      <c r="K11" s="3">
        <f t="shared" si="4"/>
        <v>3650</v>
      </c>
    </row>
    <row r="12" spans="1:12" x14ac:dyDescent="0.35">
      <c r="A12" s="4" t="s">
        <v>20</v>
      </c>
      <c r="B12" s="3" t="s">
        <v>40</v>
      </c>
      <c r="C12" s="3" t="s">
        <v>30</v>
      </c>
      <c r="D12" s="3" t="s">
        <v>44</v>
      </c>
      <c r="E12" s="3">
        <v>47</v>
      </c>
      <c r="F12" s="3">
        <f t="shared" si="0"/>
        <v>5000</v>
      </c>
      <c r="G12" s="3">
        <f t="shared" si="1"/>
        <v>1400</v>
      </c>
      <c r="H12" s="3">
        <v>500</v>
      </c>
      <c r="I12" s="3">
        <f t="shared" si="2"/>
        <v>6400</v>
      </c>
      <c r="J12" s="3">
        <f t="shared" si="3"/>
        <v>640</v>
      </c>
      <c r="K12" s="3">
        <f t="shared" si="4"/>
        <v>6260</v>
      </c>
    </row>
    <row r="13" spans="1:12" x14ac:dyDescent="0.35">
      <c r="A13" s="4" t="s">
        <v>21</v>
      </c>
      <c r="B13" s="3" t="s">
        <v>41</v>
      </c>
      <c r="C13" s="3" t="s">
        <v>31</v>
      </c>
      <c r="D13" s="3" t="s">
        <v>43</v>
      </c>
      <c r="E13" s="3">
        <v>49</v>
      </c>
      <c r="F13" s="3">
        <f t="shared" si="0"/>
        <v>4000</v>
      </c>
      <c r="G13" s="3">
        <f t="shared" si="1"/>
        <v>1800</v>
      </c>
      <c r="H13" s="3">
        <v>500</v>
      </c>
      <c r="I13" s="3">
        <f t="shared" si="2"/>
        <v>5800</v>
      </c>
      <c r="J13" s="3">
        <f t="shared" si="3"/>
        <v>580</v>
      </c>
      <c r="K13" s="3">
        <f t="shared" si="4"/>
        <v>5720</v>
      </c>
    </row>
    <row r="14" spans="1:12" x14ac:dyDescent="0.35">
      <c r="A14" s="1"/>
    </row>
    <row r="16" spans="1:12" ht="42" x14ac:dyDescent="0.35">
      <c r="B16" s="3" t="s">
        <v>2</v>
      </c>
      <c r="C16" s="3" t="s">
        <v>3</v>
      </c>
      <c r="D16" s="3" t="s">
        <v>4</v>
      </c>
      <c r="E16" s="3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</row>
    <row r="17" spans="2:11" x14ac:dyDescent="0.35">
      <c r="B17" t="s">
        <v>32</v>
      </c>
      <c r="C17" t="str">
        <f>VLOOKUP($B$17,$B$4:$K$13,2,FALSE)</f>
        <v>A</v>
      </c>
      <c r="D17" t="str">
        <f>VLOOKUP($B$17,$B$4:$K$13,3,FALSE)</f>
        <v>Grade-1</v>
      </c>
      <c r="E17">
        <f>VLOOKUP($B$17,$B$4:$K$13,4,FALSE)</f>
        <v>40</v>
      </c>
      <c r="F17">
        <f>VLOOKUP($B$17,$B$4:$K$13,5,FALSE)</f>
        <v>6000</v>
      </c>
      <c r="G17">
        <f>VLOOKUP($B$17,$B$4:$K$13,6,FALSE)</f>
        <v>0</v>
      </c>
      <c r="H17">
        <f>VLOOKUP($B$17,$B$4:$K$13,7,FALSE)</f>
        <v>500</v>
      </c>
      <c r="I17">
        <f>VLOOKUP($B$17,$B$4:$K$13,8,FALSE)</f>
        <v>6000</v>
      </c>
      <c r="J17">
        <f>VLOOKUP($B$17,$B$4:$K$13,9,FALSE)</f>
        <v>600</v>
      </c>
      <c r="K17">
        <f>VLOOKUP($B$17,$B$4:$K$13,10,FALSE)</f>
        <v>5900</v>
      </c>
    </row>
  </sheetData>
  <mergeCells count="2">
    <mergeCell ref="A1:K1"/>
    <mergeCell ref="A2:K2"/>
  </mergeCells>
  <phoneticPr fontId="1" type="noConversion"/>
  <dataValidations count="3">
    <dataValidation type="custom" allowBlank="1" showInputMessage="1" showErrorMessage="1" sqref="B4:B13" xr:uid="{FFF8E01A-E0B5-4447-9C9A-3A309436A1CC}">
      <formula1>AND(LEFT(B4,1)="E",LEN(B4)=7,COUNTIF($B$4:$B$13,B4)=1,ISNUMBER(VALUE(RIGHT(B4,6))))</formula1>
    </dataValidation>
    <dataValidation type="list" allowBlank="1" showInputMessage="1" showErrorMessage="1" sqref="D4:D13" xr:uid="{647035CA-A972-418F-A2D2-BA03CF849867}">
      <formula1>"Grade-1,Grade-2,Grade-3"</formula1>
    </dataValidation>
    <dataValidation type="list" allowBlank="1" showInputMessage="1" showErrorMessage="1" sqref="B17" xr:uid="{D1A08553-CAE8-43DA-82BD-1A0B58AE6C81}">
      <formula1>$B$4:$B$13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2026-03-07T09:46:36Z</dcterms:modified>
</cp:coreProperties>
</file>