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29\"/>
    </mc:Choice>
  </mc:AlternateContent>
  <xr:revisionPtr revIDLastSave="0" documentId="13_ncr:1_{0AC635E8-2249-4AB3-A1FC-7F8983FDE2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0" i="1"/>
  <c r="F11" i="1"/>
  <c r="F12" i="1"/>
  <c r="F13" i="1"/>
  <c r="F14" i="1"/>
  <c r="F15" i="1"/>
  <c r="F9" i="1"/>
</calcChain>
</file>

<file path=xl/sharedStrings.xml><?xml version="1.0" encoding="utf-8"?>
<sst xmlns="http://schemas.openxmlformats.org/spreadsheetml/2006/main" count="50" uniqueCount="43">
  <si>
    <t>All Kinds of Computer Product Sales and Service</t>
  </si>
  <si>
    <t>Cash Memo</t>
  </si>
  <si>
    <t>Customer Name:</t>
  </si>
  <si>
    <t>Address:</t>
  </si>
  <si>
    <t>Date:</t>
  </si>
  <si>
    <t>Mobile No:</t>
  </si>
  <si>
    <t>Product ID</t>
  </si>
  <si>
    <t>SI 
No</t>
  </si>
  <si>
    <t>Item Name</t>
  </si>
  <si>
    <t>Quentity</t>
  </si>
  <si>
    <t>Rate</t>
  </si>
  <si>
    <t>Amount</t>
  </si>
  <si>
    <r>
      <rPr>
        <sz val="34"/>
        <color theme="1"/>
        <rFont val="Times New Roman"/>
        <family val="1"/>
      </rPr>
      <t>Company Name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Arial"/>
        <family val="2"/>
      </rPr>
      <t>Shop# 5012, 5th Floor
IDB Bhaban, Agargoan, Dhaka-1207
Website: www.companyname.com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</si>
  <si>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</si>
  <si>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</si>
  <si>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</si>
  <si>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</si>
  <si>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</si>
  <si>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</si>
  <si>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</si>
  <si>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</si>
  <si>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</si>
  <si>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</si>
  <si>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Com102</t>
  </si>
  <si>
    <t>Com103</t>
  </si>
  <si>
    <t>Com104</t>
  </si>
  <si>
    <t>Com105</t>
  </si>
  <si>
    <t>Com106</t>
  </si>
  <si>
    <t>Com107</t>
  </si>
  <si>
    <t>Com108</t>
  </si>
  <si>
    <t>Laptop</t>
  </si>
  <si>
    <t>Monitor</t>
  </si>
  <si>
    <t>Mouse</t>
  </si>
  <si>
    <t>Keyboard</t>
  </si>
  <si>
    <t>SSD</t>
  </si>
  <si>
    <t>RAM</t>
  </si>
  <si>
    <t>Casing</t>
  </si>
  <si>
    <t>Grand Total</t>
  </si>
  <si>
    <t>Discount</t>
  </si>
  <si>
    <t>Vat</t>
  </si>
  <si>
    <t>Payable Amount</t>
  </si>
  <si>
    <t>In Word: Eight Lac twenty one thousand and ninety taka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</si>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</sst>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PCS&quot;"/>
    <numFmt numFmtId="165" formatCode="#,##0.00[$৳-845]"/>
  </numFmts>
  <fonts count="6" x14ac:knownFonts="1">
    <font>
      <sz val="11"/>
      <color theme="1"/>
      <name val="Calibri"/>
      <family val="2"/>
      <scheme val="minor"/>
    </font>
    <font>
      <sz val="34"/>
      <color theme="1"/>
      <name val="Times New Roman"/>
      <family val="1"/>
    </font>
    <font>
      <sz val="14"/>
      <color theme="1"/>
      <name val="Arial"/>
      <family val="2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45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314484</xdr:rowOff>
    </xdr:from>
    <xdr:to>
      <xdr:col>1</xdr:col>
      <xdr:colOff>194819</xdr:colOff>
      <xdr:row>0</xdr:row>
      <xdr:rowOff>780828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F9CC5-0F4A-4A57-BE3B-71A13EB07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314484"/>
          <a:ext cx="658368" cy="466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7" sqref="G7"/>
    </sheetView>
  </sheetViews>
  <sheetFormatPr defaultRowHeight="14.5" x14ac:dyDescent="0.35"/>
  <cols>
    <col min="1" max="1" width="8.26953125" customWidth="1"/>
    <col min="2" max="2" width="18.26953125" customWidth="1"/>
    <col min="3" max="3" width="20.1796875" customWidth="1"/>
    <col min="4" max="4" width="15.26953125" customWidth="1"/>
    <col min="5" max="5" width="17" customWidth="1"/>
    <col min="6" max="6" width="16" customWidth="1"/>
  </cols>
  <sheetData>
    <row r="1" spans="1:11" ht="98.5" customHeight="1" x14ac:dyDescent="0.35">
      <c r="A1" s="12" t="s">
        <v>12</v>
      </c>
      <c r="B1" s="13"/>
      <c r="C1" s="13"/>
      <c r="D1" s="13"/>
      <c r="E1" s="13"/>
      <c r="F1" s="13"/>
    </row>
    <row r="2" spans="1:11" ht="17.5" x14ac:dyDescent="0.35">
      <c r="A2" s="14" t="s">
        <v>0</v>
      </c>
      <c r="B2" s="14"/>
      <c r="C2" s="14"/>
      <c r="D2" s="14"/>
      <c r="E2" s="14"/>
      <c r="F2" s="14"/>
    </row>
    <row r="3" spans="1:11" ht="17.5" x14ac:dyDescent="0.35">
      <c r="A3" s="9"/>
      <c r="B3" s="9"/>
      <c r="C3" s="9"/>
      <c r="D3" s="9"/>
      <c r="E3" s="9"/>
      <c r="F3" s="9"/>
    </row>
    <row r="4" spans="1:11" ht="17.5" x14ac:dyDescent="0.35">
      <c r="A4" s="15" t="s">
        <v>1</v>
      </c>
      <c r="B4" s="15"/>
      <c r="C4" s="15"/>
      <c r="D4" s="15"/>
      <c r="E4" s="15"/>
      <c r="F4" s="15"/>
    </row>
    <row r="5" spans="1:11" ht="17.5" x14ac:dyDescent="0.35">
      <c r="A5" s="9"/>
      <c r="B5" s="9"/>
      <c r="C5" s="9"/>
      <c r="D5" s="9"/>
      <c r="E5" s="9"/>
      <c r="F5" s="9"/>
    </row>
    <row r="6" spans="1:11" ht="17.5" x14ac:dyDescent="0.35">
      <c r="A6" s="9" t="s">
        <v>2</v>
      </c>
      <c r="B6" s="9"/>
      <c r="C6" s="9"/>
      <c r="D6" s="9"/>
      <c r="E6" s="1" t="s">
        <v>4</v>
      </c>
      <c r="F6" s="1"/>
    </row>
    <row r="7" spans="1:11" ht="17.5" x14ac:dyDescent="0.35">
      <c r="A7" s="9" t="s">
        <v>3</v>
      </c>
      <c r="B7" s="9"/>
      <c r="C7" s="9"/>
      <c r="D7" s="9"/>
      <c r="E7" s="1" t="s">
        <v>5</v>
      </c>
      <c r="F7" s="1"/>
    </row>
    <row r="8" spans="1:11" ht="35" x14ac:dyDescent="0.35">
      <c r="A8" s="2" t="s">
        <v>7</v>
      </c>
      <c r="B8" s="3" t="s">
        <v>6</v>
      </c>
      <c r="C8" s="3" t="s">
        <v>8</v>
      </c>
      <c r="D8" s="3" t="s">
        <v>9</v>
      </c>
      <c r="E8" s="3" t="s">
        <v>10</v>
      </c>
      <c r="F8" s="3" t="s">
        <v>11</v>
      </c>
    </row>
    <row r="9" spans="1:11" ht="17.5" x14ac:dyDescent="0.35">
      <c r="A9" s="4" t="s">
        <v>13</v>
      </c>
      <c r="B9" s="5" t="s">
        <v>23</v>
      </c>
      <c r="C9" s="1" t="s">
        <v>30</v>
      </c>
      <c r="D9" s="6">
        <v>12</v>
      </c>
      <c r="E9" s="7">
        <v>50000</v>
      </c>
      <c r="F9" s="8">
        <f>E9*D9</f>
        <v>600000</v>
      </c>
    </row>
    <row r="10" spans="1:11" ht="17.5" x14ac:dyDescent="0.35">
      <c r="A10" s="4" t="s">
        <v>14</v>
      </c>
      <c r="B10" s="5" t="s">
        <v>24</v>
      </c>
      <c r="C10" s="1" t="s">
        <v>31</v>
      </c>
      <c r="D10" s="6">
        <v>15</v>
      </c>
      <c r="E10" s="7">
        <v>10000</v>
      </c>
      <c r="F10" s="8">
        <f t="shared" ref="F10:F15" si="0">E10*D10</f>
        <v>150000</v>
      </c>
    </row>
    <row r="11" spans="1:11" ht="17.5" x14ac:dyDescent="0.35">
      <c r="A11" s="4" t="s">
        <v>15</v>
      </c>
      <c r="B11" s="5" t="s">
        <v>25</v>
      </c>
      <c r="C11" s="1" t="s">
        <v>32</v>
      </c>
      <c r="D11" s="6">
        <v>50</v>
      </c>
      <c r="E11" s="7">
        <v>500</v>
      </c>
      <c r="F11" s="8">
        <f t="shared" si="0"/>
        <v>25000</v>
      </c>
    </row>
    <row r="12" spans="1:11" ht="17.5" x14ac:dyDescent="0.35">
      <c r="A12" s="4" t="s">
        <v>16</v>
      </c>
      <c r="B12" s="5" t="s">
        <v>26</v>
      </c>
      <c r="C12" s="1" t="s">
        <v>33</v>
      </c>
      <c r="D12" s="6">
        <v>20</v>
      </c>
      <c r="E12" s="7">
        <v>800</v>
      </c>
      <c r="F12" s="8">
        <f t="shared" si="0"/>
        <v>16000</v>
      </c>
      <c r="K12" t="s">
        <v>30</v>
      </c>
    </row>
    <row r="13" spans="1:11" ht="17.5" x14ac:dyDescent="0.35">
      <c r="A13" s="4" t="s">
        <v>17</v>
      </c>
      <c r="B13" s="5" t="s">
        <v>27</v>
      </c>
      <c r="C13" s="1" t="s">
        <v>34</v>
      </c>
      <c r="D13" s="6">
        <v>10</v>
      </c>
      <c r="E13" s="7">
        <v>2500</v>
      </c>
      <c r="F13" s="8">
        <f t="shared" si="0"/>
        <v>25000</v>
      </c>
      <c r="K13" t="s">
        <v>31</v>
      </c>
    </row>
    <row r="14" spans="1:11" ht="17.5" x14ac:dyDescent="0.35">
      <c r="A14" s="4" t="s">
        <v>18</v>
      </c>
      <c r="B14" s="5" t="s">
        <v>28</v>
      </c>
      <c r="C14" s="1" t="s">
        <v>35</v>
      </c>
      <c r="D14" s="6">
        <v>15</v>
      </c>
      <c r="E14" s="7">
        <v>2500</v>
      </c>
      <c r="F14" s="8">
        <f t="shared" si="0"/>
        <v>37500</v>
      </c>
      <c r="K14" t="s">
        <v>32</v>
      </c>
    </row>
    <row r="15" spans="1:11" ht="17.5" x14ac:dyDescent="0.35">
      <c r="A15" s="4" t="s">
        <v>19</v>
      </c>
      <c r="B15" s="5" t="s">
        <v>29</v>
      </c>
      <c r="C15" s="1" t="s">
        <v>36</v>
      </c>
      <c r="D15" s="6">
        <v>10</v>
      </c>
      <c r="E15" s="7">
        <v>2000</v>
      </c>
      <c r="F15" s="8">
        <f t="shared" si="0"/>
        <v>20000</v>
      </c>
      <c r="K15" t="s">
        <v>33</v>
      </c>
    </row>
    <row r="16" spans="1:11" ht="17.5" x14ac:dyDescent="0.35">
      <c r="A16" s="4" t="s">
        <v>20</v>
      </c>
      <c r="B16" s="5"/>
      <c r="C16" s="1"/>
      <c r="D16" s="1"/>
      <c r="E16" s="1"/>
      <c r="F16" s="1"/>
      <c r="K16" t="s">
        <v>34</v>
      </c>
    </row>
    <row r="17" spans="1:11" ht="17.5" x14ac:dyDescent="0.35">
      <c r="A17" s="4" t="s">
        <v>21</v>
      </c>
      <c r="B17" s="5"/>
      <c r="C17" s="1"/>
      <c r="D17" s="1"/>
      <c r="E17" s="1"/>
      <c r="F17" s="1"/>
      <c r="K17" t="s">
        <v>35</v>
      </c>
    </row>
    <row r="18" spans="1:11" ht="17.5" x14ac:dyDescent="0.35">
      <c r="A18" s="4" t="s">
        <v>22</v>
      </c>
      <c r="B18" s="5"/>
      <c r="C18" s="1"/>
      <c r="D18" s="1"/>
      <c r="E18" s="1"/>
      <c r="F18" s="1"/>
      <c r="K18" t="s">
        <v>36</v>
      </c>
    </row>
    <row r="19" spans="1:11" ht="17.5" x14ac:dyDescent="0.35">
      <c r="A19" s="10" t="s">
        <v>42</v>
      </c>
      <c r="B19" s="10"/>
      <c r="C19" s="10"/>
      <c r="D19" s="10"/>
      <c r="E19" s="1" t="s">
        <v>37</v>
      </c>
      <c r="F19" s="8">
        <f>SUM(F9:F18)</f>
        <v>873500</v>
      </c>
    </row>
    <row r="20" spans="1:11" ht="17.5" x14ac:dyDescent="0.35">
      <c r="A20" s="10"/>
      <c r="B20" s="10"/>
      <c r="C20" s="10"/>
      <c r="D20" s="10"/>
      <c r="E20" s="1" t="s">
        <v>38</v>
      </c>
      <c r="F20" s="1">
        <f>IF(F19&gt;500000,F19*9%,IF(F19&gt;300000,F19*3%,F19*1%))</f>
        <v>78615</v>
      </c>
    </row>
    <row r="21" spans="1:11" ht="17.5" x14ac:dyDescent="0.35">
      <c r="A21" s="10"/>
      <c r="B21" s="10"/>
      <c r="C21" s="10"/>
      <c r="D21" s="10"/>
      <c r="E21" s="1" t="s">
        <v>39</v>
      </c>
      <c r="F21" s="8">
        <f>F19*3%</f>
        <v>26205</v>
      </c>
    </row>
    <row r="22" spans="1:11" ht="17.5" x14ac:dyDescent="0.35">
      <c r="A22" s="10"/>
      <c r="B22" s="10"/>
      <c r="C22" s="10"/>
      <c r="D22" s="10"/>
      <c r="E22" s="1" t="s">
        <v>40</v>
      </c>
      <c r="F22" s="8">
        <f>SUM(F19,F21)-F20</f>
        <v>821090</v>
      </c>
    </row>
    <row r="23" spans="1:11" ht="17.5" x14ac:dyDescent="0.35">
      <c r="A23" s="11" t="s">
        <v>41</v>
      </c>
      <c r="B23" s="11"/>
      <c r="C23" s="11"/>
      <c r="D23" s="11"/>
      <c r="E23" s="11"/>
      <c r="F23" s="11"/>
    </row>
  </sheetData>
  <mergeCells count="11">
    <mergeCell ref="A1:F1"/>
    <mergeCell ref="A2:F2"/>
    <mergeCell ref="A3:F3"/>
    <mergeCell ref="A4:F4"/>
    <mergeCell ref="A5:F5"/>
    <mergeCell ref="A7:B7"/>
    <mergeCell ref="C6:D6"/>
    <mergeCell ref="C7:D7"/>
    <mergeCell ref="A19:D22"/>
    <mergeCell ref="A23:F23"/>
    <mergeCell ref="A6:B6"/>
  </mergeCells>
  <phoneticPr fontId="4" type="noConversion"/>
  <dataValidations count="2">
    <dataValidation type="textLength" operator="equal" allowBlank="1" showInputMessage="1" showErrorMessage="1" sqref="B9:B18" xr:uid="{B6E9658F-A5C7-4C97-BF85-4515F1A73604}">
      <formula1>6</formula1>
    </dataValidation>
    <dataValidation type="list" allowBlank="1" showInputMessage="1" showErrorMessage="1" sqref="C9:C15" xr:uid="{A33E7574-11CA-4184-BCD3-F1460A1A9388}">
      <formula1>$K$12:$K$18</formula1>
    </dataValidation>
  </dataValidations>
  <pageMargins left="0.7" right="0.7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cp:lastPrinted>2026-02-23T09:48:00Z</cp:lastPrinted>
  <dcterms:created xsi:type="dcterms:W3CDTF">2015-06-05T18:17:20Z</dcterms:created>
  <dcterms:modified xsi:type="dcterms:W3CDTF">2026-02-23T09:48:07Z</dcterms:modified>
</cp:coreProperties>
</file>