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Computer Operation\CO Batch-02\Class-54\"/>
    </mc:Choice>
  </mc:AlternateContent>
  <xr:revisionPtr revIDLastSave="0" documentId="13_ncr:1_{F26DFF8B-7DC7-4900-94F5-858B63F455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4" i="1"/>
  <c r="H22" i="1"/>
  <c r="H24" i="1"/>
  <c r="L4" i="1"/>
  <c r="P5" i="1"/>
  <c r="P6" i="1"/>
  <c r="P7" i="1"/>
  <c r="P8" i="1"/>
  <c r="P9" i="1"/>
  <c r="P10" i="1"/>
  <c r="P11" i="1"/>
  <c r="P12" i="1"/>
  <c r="P13" i="1"/>
  <c r="P14" i="1"/>
  <c r="P4" i="1"/>
  <c r="O5" i="1"/>
  <c r="O6" i="1"/>
  <c r="O7" i="1"/>
  <c r="O8" i="1"/>
  <c r="O9" i="1"/>
  <c r="O10" i="1"/>
  <c r="O11" i="1"/>
  <c r="O12" i="1"/>
  <c r="O13" i="1"/>
  <c r="O14" i="1"/>
  <c r="O4" i="1"/>
  <c r="K5" i="1"/>
  <c r="K6" i="1"/>
  <c r="K7" i="1"/>
  <c r="K8" i="1"/>
  <c r="K9" i="1"/>
  <c r="K10" i="1"/>
  <c r="K11" i="1"/>
  <c r="K12" i="1"/>
  <c r="K13" i="1"/>
  <c r="K14" i="1"/>
  <c r="K4" i="1"/>
  <c r="J5" i="1"/>
  <c r="J6" i="1"/>
  <c r="J7" i="1"/>
  <c r="J8" i="1"/>
  <c r="J9" i="1"/>
  <c r="J10" i="1"/>
  <c r="J11" i="1"/>
  <c r="J12" i="1"/>
  <c r="J13" i="1"/>
  <c r="J14" i="1"/>
  <c r="J4" i="1"/>
  <c r="D16" i="1"/>
</calcChain>
</file>

<file path=xl/sharedStrings.xml><?xml version="1.0" encoding="utf-8"?>
<sst xmlns="http://schemas.openxmlformats.org/spreadsheetml/2006/main" count="41" uniqueCount="35">
  <si>
    <t>Bangladesh vs South Africa 3-Match ODI Series, 2023</t>
  </si>
  <si>
    <t>SI
No</t>
  </si>
  <si>
    <t>Jersy
No</t>
  </si>
  <si>
    <t>Name</t>
  </si>
  <si>
    <t>1st Match</t>
  </si>
  <si>
    <t>2nd Match</t>
  </si>
  <si>
    <t>3rd Match</t>
  </si>
  <si>
    <t>Total Runs</t>
  </si>
  <si>
    <t>Average</t>
  </si>
  <si>
    <t>Rating</t>
  </si>
  <si>
    <t>Run</t>
  </si>
  <si>
    <t>Wkts</t>
  </si>
  <si>
    <t>Tamim</t>
  </si>
  <si>
    <t>Liton</t>
  </si>
  <si>
    <t>Miraz</t>
  </si>
  <si>
    <t>Shanto</t>
  </si>
  <si>
    <t>Mushfiq (wk)</t>
  </si>
  <si>
    <t>Shakib Al Hasan</t>
  </si>
  <si>
    <t>Mahmudullah</t>
  </si>
  <si>
    <t>Mustafiz</t>
  </si>
  <si>
    <t>Saifuddin</t>
  </si>
  <si>
    <t>Taskin</t>
  </si>
  <si>
    <t>Mashrafe ©</t>
  </si>
  <si>
    <t>Player of 
the
Series</t>
  </si>
  <si>
    <t>JN10</t>
  </si>
  <si>
    <t>JN45</t>
  </si>
  <si>
    <t>JN55</t>
  </si>
  <si>
    <t>JN78</t>
  </si>
  <si>
    <t>JN65</t>
  </si>
  <si>
    <t>JN75</t>
  </si>
  <si>
    <t>JN99</t>
  </si>
  <si>
    <t>JN44</t>
  </si>
  <si>
    <t>JN02</t>
  </si>
  <si>
    <t>JN69</t>
  </si>
  <si>
    <t>JN70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</si>
</sst>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textRotation="45"/>
    </xf>
    <xf numFmtId="0" fontId="2" fillId="0" borderId="4" xfId="0" applyFont="1" applyBorder="1" applyAlignment="1">
      <alignment horizontal="center" vertical="center" textRotation="45"/>
    </xf>
    <xf numFmtId="0" fontId="2" fillId="0" borderId="3" xfId="0" applyFont="1" applyBorder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114300</xdr:rowOff>
    </xdr:from>
    <xdr:to>
      <xdr:col>2</xdr:col>
      <xdr:colOff>241808</xdr:colOff>
      <xdr:row>0</xdr:row>
      <xdr:rowOff>406908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B1275B-8C7A-0711-BB82-79F27F8BA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400" y="114300"/>
          <a:ext cx="292608" cy="292608"/>
        </a:xfrm>
        <a:prstGeom prst="rect">
          <a:avLst/>
        </a:prstGeom>
      </xdr:spPr>
    </xdr:pic>
    <xdr:clientData/>
  </xdr:twoCellAnchor>
  <xdr:twoCellAnchor editAs="oneCell">
    <xdr:from>
      <xdr:col>11</xdr:col>
      <xdr:colOff>107950</xdr:colOff>
      <xdr:row>0</xdr:row>
      <xdr:rowOff>95250</xdr:rowOff>
    </xdr:from>
    <xdr:to>
      <xdr:col>11</xdr:col>
      <xdr:colOff>400558</xdr:colOff>
      <xdr:row>0</xdr:row>
      <xdr:rowOff>387858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9B7271-C5A9-61B7-7BA7-6060376712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95250"/>
          <a:ext cx="292608" cy="292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1" sqref="P1"/>
    </sheetView>
  </sheetViews>
  <sheetFormatPr defaultRowHeight="14.5" x14ac:dyDescent="0.35"/>
  <cols>
    <col min="3" max="3" width="15.1796875" bestFit="1" customWidth="1"/>
    <col min="10" max="10" width="12.1796875" bestFit="1" customWidth="1"/>
    <col min="11" max="11" width="10.08984375" bestFit="1" customWidth="1"/>
    <col min="12" max="12" width="15.1796875" bestFit="1" customWidth="1"/>
    <col min="15" max="15" width="9.54296875" bestFit="1" customWidth="1"/>
    <col min="16" max="16" width="14.08984375" bestFit="1" customWidth="1"/>
  </cols>
  <sheetData>
    <row r="1" spans="1:16" ht="37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ht="37" customHeight="1" x14ac:dyDescent="0.35">
      <c r="A2" s="2" t="s">
        <v>1</v>
      </c>
      <c r="B2" s="2" t="s">
        <v>2</v>
      </c>
      <c r="C2" s="3" t="s">
        <v>3</v>
      </c>
      <c r="D2" s="3" t="s">
        <v>4</v>
      </c>
      <c r="E2" s="3"/>
      <c r="F2" s="3" t="s">
        <v>5</v>
      </c>
      <c r="G2" s="3"/>
      <c r="H2" s="3" t="s">
        <v>6</v>
      </c>
      <c r="I2" s="3"/>
      <c r="J2" s="6" t="s">
        <v>7</v>
      </c>
      <c r="K2" s="6" t="s">
        <v>8</v>
      </c>
      <c r="L2" s="8" t="s">
        <v>23</v>
      </c>
      <c r="M2" s="6" t="s">
        <v>9</v>
      </c>
    </row>
    <row r="3" spans="1:16" ht="18.5" x14ac:dyDescent="0.35">
      <c r="A3" s="2"/>
      <c r="B3" s="2"/>
      <c r="C3" s="3"/>
      <c r="D3" s="4" t="s">
        <v>10</v>
      </c>
      <c r="E3" s="4" t="s">
        <v>11</v>
      </c>
      <c r="F3" s="4" t="s">
        <v>10</v>
      </c>
      <c r="G3" s="4" t="s">
        <v>11</v>
      </c>
      <c r="H3" s="4" t="s">
        <v>10</v>
      </c>
      <c r="I3" s="4" t="s">
        <v>11</v>
      </c>
      <c r="J3" s="7"/>
      <c r="K3" s="7"/>
      <c r="L3" s="9"/>
      <c r="M3" s="7"/>
      <c r="O3" s="11" t="s">
        <v>7</v>
      </c>
      <c r="P3" s="11" t="s">
        <v>3</v>
      </c>
    </row>
    <row r="4" spans="1:16" ht="15.5" x14ac:dyDescent="0.35">
      <c r="A4" s="5">
        <v>1</v>
      </c>
      <c r="B4" s="5" t="s">
        <v>24</v>
      </c>
      <c r="C4" s="5" t="s">
        <v>12</v>
      </c>
      <c r="D4" s="5">
        <v>55</v>
      </c>
      <c r="E4" s="5">
        <v>0</v>
      </c>
      <c r="F4" s="5">
        <v>110</v>
      </c>
      <c r="G4" s="5">
        <v>0</v>
      </c>
      <c r="H4" s="5">
        <v>75</v>
      </c>
      <c r="I4" s="5">
        <v>0</v>
      </c>
      <c r="J4" s="5">
        <f>SUM(D4,F4,H4)+SUM(E4,G4,I4)*20</f>
        <v>240</v>
      </c>
      <c r="K4" s="10">
        <f>AVERAGE(D4,F4,H4)</f>
        <v>80</v>
      </c>
      <c r="L4" s="12" t="str">
        <f>VLOOKUP(MAX(O4:O14),O4:P14,2,FALSE)</f>
        <v>Shakib Al Hasan</v>
      </c>
      <c r="M4" s="5" t="str">
        <f>IF(J4&lt;100,"",REPT("*",INT(J4/100)))</f>
        <v>**</v>
      </c>
      <c r="O4" s="11">
        <f>J4</f>
        <v>240</v>
      </c>
      <c r="P4" s="11" t="str">
        <f>C4</f>
        <v>Tamim</v>
      </c>
    </row>
    <row r="5" spans="1:16" ht="15.5" x14ac:dyDescent="0.35">
      <c r="A5" s="5">
        <v>2</v>
      </c>
      <c r="B5" s="5" t="s">
        <v>25</v>
      </c>
      <c r="C5" s="5" t="s">
        <v>13</v>
      </c>
      <c r="D5" s="5">
        <v>30</v>
      </c>
      <c r="E5" s="5">
        <v>0</v>
      </c>
      <c r="F5" s="5">
        <v>40</v>
      </c>
      <c r="G5" s="5">
        <v>0</v>
      </c>
      <c r="H5" s="5">
        <v>5</v>
      </c>
      <c r="I5" s="5">
        <v>0</v>
      </c>
      <c r="J5" s="5">
        <f t="shared" ref="J5:J14" si="0">SUM(D5,F5,H5)+SUM(E5,G5,I5)*20</f>
        <v>75</v>
      </c>
      <c r="K5" s="10">
        <f t="shared" ref="K5:K14" si="1">AVERAGE(D5,F5,H5)</f>
        <v>25</v>
      </c>
      <c r="L5" s="13"/>
      <c r="M5" s="5" t="str">
        <f t="shared" ref="M5:M14" si="2">IF(J5&lt;100,"",REPT("*",INT(J5/100)))</f>
        <v/>
      </c>
      <c r="O5" s="11">
        <f t="shared" ref="O5:O14" si="3">J5</f>
        <v>75</v>
      </c>
      <c r="P5" s="11" t="str">
        <f t="shared" ref="P5:P14" si="4">C5</f>
        <v>Liton</v>
      </c>
    </row>
    <row r="6" spans="1:16" ht="15.5" x14ac:dyDescent="0.35">
      <c r="A6" s="5">
        <v>3</v>
      </c>
      <c r="B6" s="5" t="s">
        <v>26</v>
      </c>
      <c r="C6" s="5" t="s">
        <v>14</v>
      </c>
      <c r="D6" s="5">
        <v>40</v>
      </c>
      <c r="E6" s="5">
        <v>1</v>
      </c>
      <c r="F6" s="5">
        <v>34</v>
      </c>
      <c r="G6" s="5">
        <v>2</v>
      </c>
      <c r="H6" s="5">
        <v>101</v>
      </c>
      <c r="I6" s="5">
        <v>1</v>
      </c>
      <c r="J6" s="5">
        <f t="shared" si="0"/>
        <v>255</v>
      </c>
      <c r="K6" s="10">
        <f t="shared" si="1"/>
        <v>58.333333333333336</v>
      </c>
      <c r="L6" s="13"/>
      <c r="M6" s="5" t="str">
        <f t="shared" si="2"/>
        <v>**</v>
      </c>
      <c r="O6" s="11">
        <f t="shared" si="3"/>
        <v>255</v>
      </c>
      <c r="P6" s="11" t="str">
        <f t="shared" si="4"/>
        <v>Miraz</v>
      </c>
    </row>
    <row r="7" spans="1:16" ht="15.5" x14ac:dyDescent="0.35">
      <c r="A7" s="5">
        <v>4</v>
      </c>
      <c r="B7" s="5" t="s">
        <v>27</v>
      </c>
      <c r="C7" s="5" t="s">
        <v>15</v>
      </c>
      <c r="D7" s="5">
        <v>50</v>
      </c>
      <c r="E7" s="5">
        <v>0</v>
      </c>
      <c r="F7" s="5">
        <v>120</v>
      </c>
      <c r="G7" s="5">
        <v>0</v>
      </c>
      <c r="H7" s="5">
        <v>98</v>
      </c>
      <c r="I7" s="5">
        <v>0</v>
      </c>
      <c r="J7" s="5">
        <f t="shared" si="0"/>
        <v>268</v>
      </c>
      <c r="K7" s="10">
        <f t="shared" si="1"/>
        <v>89.333333333333329</v>
      </c>
      <c r="L7" s="13"/>
      <c r="M7" s="5" t="str">
        <f t="shared" si="2"/>
        <v>**</v>
      </c>
      <c r="O7" s="11">
        <f t="shared" si="3"/>
        <v>268</v>
      </c>
      <c r="P7" s="11" t="str">
        <f t="shared" si="4"/>
        <v>Shanto</v>
      </c>
    </row>
    <row r="8" spans="1:16" ht="15.5" x14ac:dyDescent="0.35">
      <c r="A8" s="5">
        <v>5</v>
      </c>
      <c r="B8" s="5" t="s">
        <v>28</v>
      </c>
      <c r="C8" s="5" t="s">
        <v>16</v>
      </c>
      <c r="D8" s="5">
        <v>60</v>
      </c>
      <c r="E8" s="5">
        <v>0</v>
      </c>
      <c r="F8" s="5">
        <v>110</v>
      </c>
      <c r="G8" s="5">
        <v>0</v>
      </c>
      <c r="H8" s="5">
        <v>78</v>
      </c>
      <c r="I8" s="5">
        <v>0</v>
      </c>
      <c r="J8" s="5">
        <f t="shared" si="0"/>
        <v>248</v>
      </c>
      <c r="K8" s="10">
        <f t="shared" si="1"/>
        <v>82.666666666666671</v>
      </c>
      <c r="L8" s="13"/>
      <c r="M8" s="5" t="str">
        <f t="shared" si="2"/>
        <v>**</v>
      </c>
      <c r="O8" s="11">
        <f t="shared" si="3"/>
        <v>248</v>
      </c>
      <c r="P8" s="11" t="str">
        <f t="shared" si="4"/>
        <v>Mushfiq (wk)</v>
      </c>
    </row>
    <row r="9" spans="1:16" ht="15.5" x14ac:dyDescent="0.35">
      <c r="A9" s="5">
        <v>6</v>
      </c>
      <c r="B9" s="5" t="s">
        <v>29</v>
      </c>
      <c r="C9" s="5" t="s">
        <v>17</v>
      </c>
      <c r="D9" s="5">
        <v>55</v>
      </c>
      <c r="E9" s="5">
        <v>3</v>
      </c>
      <c r="F9" s="5">
        <v>45</v>
      </c>
      <c r="G9" s="5">
        <v>4</v>
      </c>
      <c r="H9" s="5">
        <v>75</v>
      </c>
      <c r="I9" s="5">
        <v>2</v>
      </c>
      <c r="J9" s="5">
        <f t="shared" si="0"/>
        <v>355</v>
      </c>
      <c r="K9" s="10">
        <f t="shared" si="1"/>
        <v>58.333333333333336</v>
      </c>
      <c r="L9" s="13"/>
      <c r="M9" s="5" t="str">
        <f t="shared" si="2"/>
        <v>***</v>
      </c>
      <c r="O9" s="11">
        <f t="shared" si="3"/>
        <v>355</v>
      </c>
      <c r="P9" s="11" t="str">
        <f t="shared" si="4"/>
        <v>Shakib Al Hasan</v>
      </c>
    </row>
    <row r="10" spans="1:16" ht="15.5" x14ac:dyDescent="0.35">
      <c r="A10" s="5">
        <v>7</v>
      </c>
      <c r="B10" s="5" t="s">
        <v>30</v>
      </c>
      <c r="C10" s="5" t="s">
        <v>18</v>
      </c>
      <c r="D10" s="5">
        <v>80</v>
      </c>
      <c r="E10" s="5">
        <v>2</v>
      </c>
      <c r="F10" s="5">
        <v>70</v>
      </c>
      <c r="G10" s="5">
        <v>2</v>
      </c>
      <c r="H10" s="5">
        <v>35</v>
      </c>
      <c r="I10" s="5">
        <v>2</v>
      </c>
      <c r="J10" s="5">
        <f t="shared" si="0"/>
        <v>305</v>
      </c>
      <c r="K10" s="10">
        <f t="shared" si="1"/>
        <v>61.666666666666664</v>
      </c>
      <c r="L10" s="13"/>
      <c r="M10" s="5" t="str">
        <f t="shared" si="2"/>
        <v>***</v>
      </c>
      <c r="O10" s="11">
        <f t="shared" si="3"/>
        <v>305</v>
      </c>
      <c r="P10" s="11" t="str">
        <f t="shared" si="4"/>
        <v>Mahmudullah</v>
      </c>
    </row>
    <row r="11" spans="1:16" ht="15.5" x14ac:dyDescent="0.35">
      <c r="A11" s="5">
        <v>8</v>
      </c>
      <c r="B11" s="5" t="s">
        <v>31</v>
      </c>
      <c r="C11" s="5" t="s">
        <v>19</v>
      </c>
      <c r="D11" s="5">
        <v>12</v>
      </c>
      <c r="E11" s="5">
        <v>1</v>
      </c>
      <c r="F11" s="5">
        <v>23</v>
      </c>
      <c r="G11" s="5">
        <v>1</v>
      </c>
      <c r="H11" s="5">
        <v>1</v>
      </c>
      <c r="I11" s="5">
        <v>1</v>
      </c>
      <c r="J11" s="5">
        <f t="shared" si="0"/>
        <v>96</v>
      </c>
      <c r="K11" s="10">
        <f t="shared" si="1"/>
        <v>12</v>
      </c>
      <c r="L11" s="13"/>
      <c r="M11" s="5" t="str">
        <f t="shared" si="2"/>
        <v/>
      </c>
      <c r="O11" s="11">
        <f t="shared" si="3"/>
        <v>96</v>
      </c>
      <c r="P11" s="11" t="str">
        <f t="shared" si="4"/>
        <v>Mustafiz</v>
      </c>
    </row>
    <row r="12" spans="1:16" ht="15.5" x14ac:dyDescent="0.35">
      <c r="A12" s="5">
        <v>9</v>
      </c>
      <c r="B12" s="5" t="s">
        <v>32</v>
      </c>
      <c r="C12" s="5" t="s">
        <v>22</v>
      </c>
      <c r="D12" s="5">
        <v>45</v>
      </c>
      <c r="E12" s="5">
        <v>2</v>
      </c>
      <c r="F12" s="5">
        <v>35</v>
      </c>
      <c r="G12" s="5">
        <v>1</v>
      </c>
      <c r="H12" s="5">
        <v>40</v>
      </c>
      <c r="I12" s="5">
        <v>2</v>
      </c>
      <c r="J12" s="5">
        <f t="shared" si="0"/>
        <v>220</v>
      </c>
      <c r="K12" s="10">
        <f t="shared" si="1"/>
        <v>40</v>
      </c>
      <c r="L12" s="13"/>
      <c r="M12" s="5" t="str">
        <f t="shared" si="2"/>
        <v>**</v>
      </c>
      <c r="O12" s="11">
        <f t="shared" si="3"/>
        <v>220</v>
      </c>
      <c r="P12" s="11" t="str">
        <f t="shared" si="4"/>
        <v>Mashrafe ©</v>
      </c>
    </row>
    <row r="13" spans="1:16" ht="15.5" x14ac:dyDescent="0.35">
      <c r="A13" s="5">
        <v>10</v>
      </c>
      <c r="B13" s="5" t="s">
        <v>33</v>
      </c>
      <c r="C13" s="5" t="s">
        <v>20</v>
      </c>
      <c r="D13" s="5">
        <v>110</v>
      </c>
      <c r="E13" s="5">
        <v>1</v>
      </c>
      <c r="F13" s="5">
        <v>60</v>
      </c>
      <c r="G13" s="5">
        <v>1</v>
      </c>
      <c r="H13" s="5">
        <v>20</v>
      </c>
      <c r="I13" s="5">
        <v>2</v>
      </c>
      <c r="J13" s="5">
        <f t="shared" si="0"/>
        <v>270</v>
      </c>
      <c r="K13" s="10">
        <f t="shared" si="1"/>
        <v>63.333333333333336</v>
      </c>
      <c r="L13" s="13"/>
      <c r="M13" s="5" t="str">
        <f t="shared" si="2"/>
        <v>**</v>
      </c>
      <c r="O13" s="11">
        <f t="shared" si="3"/>
        <v>270</v>
      </c>
      <c r="P13" s="11" t="str">
        <f t="shared" si="4"/>
        <v>Saifuddin</v>
      </c>
    </row>
    <row r="14" spans="1:16" ht="15.5" x14ac:dyDescent="0.35">
      <c r="A14" s="5">
        <v>11</v>
      </c>
      <c r="B14" s="5" t="s">
        <v>34</v>
      </c>
      <c r="C14" s="5" t="s">
        <v>21</v>
      </c>
      <c r="D14" s="5">
        <v>12</v>
      </c>
      <c r="E14" s="5">
        <v>1</v>
      </c>
      <c r="F14" s="5">
        <v>15</v>
      </c>
      <c r="G14" s="5">
        <v>0</v>
      </c>
      <c r="H14" s="5">
        <v>18</v>
      </c>
      <c r="I14" s="5">
        <v>1</v>
      </c>
      <c r="J14" s="5">
        <f t="shared" si="0"/>
        <v>85</v>
      </c>
      <c r="K14" s="10">
        <f t="shared" si="1"/>
        <v>15</v>
      </c>
      <c r="L14" s="14"/>
      <c r="M14" s="5" t="str">
        <f t="shared" si="2"/>
        <v/>
      </c>
      <c r="O14" s="11">
        <f t="shared" si="3"/>
        <v>85</v>
      </c>
      <c r="P14" s="11" t="str">
        <f t="shared" si="4"/>
        <v>Taskin</v>
      </c>
    </row>
    <row r="16" spans="1:16" x14ac:dyDescent="0.35">
      <c r="D16" t="b">
        <f>AND(COUNTIF($B$4:$B$14,B4)=1,LEN(B4)=4)</f>
        <v>1</v>
      </c>
    </row>
    <row r="22" spans="7:8" x14ac:dyDescent="0.35">
      <c r="G22">
        <v>5.74</v>
      </c>
      <c r="H22">
        <f>INT(G22)</f>
        <v>5</v>
      </c>
    </row>
    <row r="24" spans="7:8" x14ac:dyDescent="0.35">
      <c r="H24" t="str">
        <f>REPT("*",3)</f>
        <v>***</v>
      </c>
    </row>
  </sheetData>
  <mergeCells count="12">
    <mergeCell ref="M2:M3"/>
    <mergeCell ref="L4:L14"/>
    <mergeCell ref="A1:M1"/>
    <mergeCell ref="A2:A3"/>
    <mergeCell ref="B2:B3"/>
    <mergeCell ref="C2:C3"/>
    <mergeCell ref="D2:E2"/>
    <mergeCell ref="F2:G2"/>
    <mergeCell ref="H2:I2"/>
    <mergeCell ref="J2:J3"/>
    <mergeCell ref="K2:K3"/>
    <mergeCell ref="L2:L3"/>
  </mergeCells>
  <dataValidations count="1">
    <dataValidation type="custom" allowBlank="1" showInputMessage="1" showErrorMessage="1" sqref="B4:B14" xr:uid="{2D4373BD-44F3-41BD-8B7E-06F304E3D042}">
      <formula1>AND(COUNTIF($B$4:$B$14,B4)=1,LEN(B4)=4)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A6FD-85BB-49B0-BB33-39D472B45954}">
  <dimension ref="A1"/>
  <sheetViews>
    <sheetView workbookViewId="0">
      <selection activeCell="I12" sqref="I1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Alam</dc:creator>
  <cp:lastModifiedBy>Mehedi Alam</cp:lastModifiedBy>
  <dcterms:created xsi:type="dcterms:W3CDTF">2015-06-05T18:17:20Z</dcterms:created>
  <dcterms:modified xsi:type="dcterms:W3CDTF">2026-04-30T10:21:57Z</dcterms:modified>
</cp:coreProperties>
</file>