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mputer operation\CO-Batch-2\Class-41\"/>
    </mc:Choice>
  </mc:AlternateContent>
  <xr:revisionPtr revIDLastSave="0" documentId="13_ncr:1_{A02A6BD2-AC12-48B2-9F84-DD958EE578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2" i="1"/>
  <c r="J3" i="1" l="1"/>
  <c r="J4" i="1"/>
  <c r="J5" i="1"/>
  <c r="J6" i="1"/>
  <c r="J7" i="1"/>
  <c r="I4" i="1" l="1"/>
  <c r="I5" i="1"/>
  <c r="I6" i="1"/>
  <c r="I7" i="1"/>
  <c r="I3" i="1"/>
  <c r="H4" i="1"/>
  <c r="H5" i="1"/>
  <c r="H6" i="1"/>
  <c r="H7" i="1"/>
  <c r="H3" i="1"/>
  <c r="G4" i="1"/>
  <c r="G5" i="1"/>
  <c r="G6" i="1"/>
  <c r="G7" i="1"/>
  <c r="G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<sst xmlns="http://schemas.openxmlformats.org/spreadsheetml/2006/main" count="31" uniqueCount="26">
  <si>
    <t>Employee ID</t>
  </si>
  <si>
    <t>Basic Sallary</t>
  </si>
  <si>
    <t>Tex Rate
%</t>
  </si>
  <si>
    <t>Tex Ammount</t>
  </si>
  <si>
    <t>Loan Deduction</t>
  </si>
  <si>
    <t>Gross Sallary</t>
  </si>
  <si>
    <t>Net Sallary</t>
  </si>
  <si>
    <t>Budget
Range</t>
  </si>
  <si>
    <t>Total
Deduction</t>
  </si>
  <si>
    <t>Gross
Sallary</t>
  </si>
  <si>
    <t>Basic
Sallary</t>
  </si>
  <si>
    <t>Allowences</t>
  </si>
  <si>
    <t>E001</t>
  </si>
  <si>
    <t>E002</t>
  </si>
  <si>
    <t>E003</t>
  </si>
  <si>
    <t>E004</t>
  </si>
  <si>
    <t>E005</t>
  </si>
  <si>
    <t>Category</t>
  </si>
  <si>
    <t>Amount</t>
  </si>
  <si>
    <t>Type</t>
  </si>
  <si>
    <r>
      <rPr>
        <b/>
        <sz val="15"/>
        <color theme="1"/>
        <rFont val="Arial"/>
        <family val="2"/>
      </rPr>
      <t>Monthly Salary Sheet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Times New Roman"/>
        <family val="1"/>
      </rPr>
      <t>Month: October 2024</t>
    </r>
  </si>
  <si>
    <t>In Range Deduct</t>
  </si>
  <si>
    <t>Over Deduct</t>
  </si>
  <si>
    <t>Loan Deduct</t>
  </si>
  <si>
    <t>Total Deduct</t>
  </si>
  <si>
    <t>Tex Deduct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</si>
</sst>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FF0000"/>
      </font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ont>
        <color theme="4"/>
      </font>
    </dxf>
    <dxf>
      <fill>
        <patternFill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Sheet1!$A$13:$A$18</c:f>
              <c:strCache>
                <c:ptCount val="6"/>
                <c:pt idx="0">
                  <c:v>Allowences</c:v>
                </c:pt>
                <c:pt idx="1">
                  <c:v>Gross Sallary</c:v>
                </c:pt>
                <c:pt idx="2">
                  <c:v>Tex Deduct</c:v>
                </c:pt>
                <c:pt idx="3">
                  <c:v>Loan Deduct</c:v>
                </c:pt>
                <c:pt idx="4">
                  <c:v>Total Deduct</c:v>
                </c:pt>
                <c:pt idx="5">
                  <c:v>Net Sallary</c:v>
                </c:pt>
              </c:strCache>
            </c:strRef>
          </c:cat>
          <c:val>
            <c:numRef>
              <c:f>Sheet1!$B$13:$B$18</c:f>
              <c:numCache>
                <c:formatCode>General</c:formatCode>
                <c:ptCount val="6"/>
                <c:pt idx="0">
                  <c:v>5200</c:v>
                </c:pt>
                <c:pt idx="1">
                  <c:v>31200</c:v>
                </c:pt>
                <c:pt idx="2">
                  <c:v>3650</c:v>
                </c:pt>
                <c:pt idx="3">
                  <c:v>2400</c:v>
                </c:pt>
                <c:pt idx="4">
                  <c:v>6050</c:v>
                </c:pt>
                <c:pt idx="5">
                  <c:v>25150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7-4EA9-BDCF-13AF2A0ED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225425</xdr:colOff>
      <xdr:row>12</xdr:row>
      <xdr:rowOff>177800</xdr:rowOff>
    </xdr:from>
    <xdr:to>
      <xdr:col>8</xdr:col>
      <xdr:colOff>577850</xdr:colOff>
      <xdr:row>22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A7448-85C2-4CF3-AD60-1D35CE40D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A6" workbookViewId="0">
      <selection activeCell="E9" sqref="E9"/>
    </sheetView>
  </sheetViews>
  <sheetFormatPr defaultRowHeight="14.5" x14ac:dyDescent="0.35"/>
  <cols>
    <col min="1" max="1" width="11.26953125" bestFit="1" customWidth="1"/>
    <col min="3" max="3" width="10.1796875" bestFit="1" customWidth="1"/>
    <col min="5" max="5" width="12.54296875" bestFit="1" customWidth="1"/>
    <col min="6" max="6" width="13.90625" bestFit="1" customWidth="1"/>
    <col min="7" max="7" width="9.54296875" customWidth="1"/>
    <col min="9" max="9" width="9.6328125" bestFit="1" customWidth="1"/>
    <col min="10" max="10" width="14.81640625" customWidth="1"/>
    <col min="13" max="13" width="14.453125" bestFit="1" customWidth="1"/>
  </cols>
  <sheetData>
    <row r="1" spans="1:13" ht="39" customHeight="1" x14ac:dyDescent="0.35">
      <c r="A1" s="4" t="s">
        <v>20</v>
      </c>
      <c r="B1" s="4"/>
      <c r="C1" s="4"/>
      <c r="D1" s="4"/>
      <c r="E1" s="4"/>
      <c r="F1" s="4"/>
      <c r="G1" s="4"/>
      <c r="H1" s="4"/>
      <c r="I1" s="4"/>
      <c r="J1" s="4"/>
    </row>
    <row r="2" spans="1:13" ht="28" x14ac:dyDescent="0.35">
      <c r="A2" s="1" t="s">
        <v>0</v>
      </c>
      <c r="B2" s="2" t="s">
        <v>10</v>
      </c>
      <c r="C2" s="1" t="s">
        <v>11</v>
      </c>
      <c r="D2" s="2" t="s">
        <v>2</v>
      </c>
      <c r="E2" s="1" t="s">
        <v>3</v>
      </c>
      <c r="F2" s="1" t="s">
        <v>4</v>
      </c>
      <c r="G2" s="2" t="s">
        <v>8</v>
      </c>
      <c r="H2" s="2" t="s">
        <v>9</v>
      </c>
      <c r="I2" s="1" t="s">
        <v>6</v>
      </c>
      <c r="J2" s="2" t="s">
        <v>7</v>
      </c>
    </row>
    <row r="3" spans="1:13" x14ac:dyDescent="0.35">
      <c r="A3" s="1" t="s">
        <v>12</v>
      </c>
      <c r="B3" s="1">
        <v>6000</v>
      </c>
      <c r="C3" s="1">
        <v>1000</v>
      </c>
      <c r="D3" s="1">
        <v>10</v>
      </c>
      <c r="E3" s="1">
        <f>B3*D3%</f>
        <v>600</v>
      </c>
      <c r="F3" s="1">
        <v>400</v>
      </c>
      <c r="G3" s="1">
        <f>SUM(E3:F3)</f>
        <v>1000</v>
      </c>
      <c r="H3" s="1">
        <f>SUM(B3,C3)</f>
        <v>7000</v>
      </c>
      <c r="I3" s="1">
        <f>H3-G3</f>
        <v>6000</v>
      </c>
      <c r="J3" s="1" t="str">
        <f>IF(E3&gt;B3*10%,"Over Deduct","In Range Deduct")</f>
        <v>In Range Deduct</v>
      </c>
      <c r="M3" t="s">
        <v>21</v>
      </c>
    </row>
    <row r="4" spans="1:13" x14ac:dyDescent="0.35">
      <c r="A4" s="1" t="s">
        <v>13</v>
      </c>
      <c r="B4" s="1">
        <v>5000</v>
      </c>
      <c r="C4" s="1">
        <v>1200</v>
      </c>
      <c r="D4" s="1">
        <v>15</v>
      </c>
      <c r="E4" s="1">
        <f t="shared" ref="E4:E7" si="0">B4*D4%</f>
        <v>750</v>
      </c>
      <c r="F4" s="1">
        <v>500</v>
      </c>
      <c r="G4" s="1">
        <f t="shared" ref="G4:G7" si="1">SUM(E4:F4)</f>
        <v>1250</v>
      </c>
      <c r="H4" s="1">
        <f t="shared" ref="H4:H7" si="2">SUM(B4,C4)</f>
        <v>6200</v>
      </c>
      <c r="I4" s="1">
        <f t="shared" ref="I4:I7" si="3">H4-G4</f>
        <v>4950</v>
      </c>
      <c r="J4" s="1" t="str">
        <f t="shared" ref="J4:J7" si="4">IF(E4&gt;B4*10%,"Over Deduct","In Range Deduct")</f>
        <v>Over Deduct</v>
      </c>
      <c r="M4" t="s">
        <v>22</v>
      </c>
    </row>
    <row r="5" spans="1:13" x14ac:dyDescent="0.35">
      <c r="A5" s="1" t="s">
        <v>14</v>
      </c>
      <c r="B5" s="1">
        <v>4000</v>
      </c>
      <c r="C5" s="1">
        <v>1500</v>
      </c>
      <c r="D5" s="1">
        <v>20</v>
      </c>
      <c r="E5" s="1">
        <f t="shared" si="0"/>
        <v>800</v>
      </c>
      <c r="F5" s="1">
        <v>500</v>
      </c>
      <c r="G5" s="1">
        <f t="shared" si="1"/>
        <v>1300</v>
      </c>
      <c r="H5" s="1">
        <f t="shared" si="2"/>
        <v>5500</v>
      </c>
      <c r="I5" s="1">
        <f t="shared" si="3"/>
        <v>4200</v>
      </c>
      <c r="J5" s="1" t="str">
        <f t="shared" si="4"/>
        <v>Over Deduct</v>
      </c>
      <c r="M5" t="s">
        <v>22</v>
      </c>
    </row>
    <row r="6" spans="1:13" x14ac:dyDescent="0.35">
      <c r="A6" s="1" t="s">
        <v>15</v>
      </c>
      <c r="B6" s="1">
        <v>3000</v>
      </c>
      <c r="C6" s="1">
        <v>1000</v>
      </c>
      <c r="D6" s="1">
        <v>10</v>
      </c>
      <c r="E6" s="1">
        <f t="shared" si="0"/>
        <v>300</v>
      </c>
      <c r="F6" s="1">
        <v>500</v>
      </c>
      <c r="G6" s="1">
        <f t="shared" si="1"/>
        <v>800</v>
      </c>
      <c r="H6" s="1">
        <f t="shared" si="2"/>
        <v>4000</v>
      </c>
      <c r="I6" s="1">
        <f t="shared" si="3"/>
        <v>3200</v>
      </c>
      <c r="J6" s="1" t="str">
        <f t="shared" si="4"/>
        <v>In Range Deduct</v>
      </c>
      <c r="M6" t="s">
        <v>21</v>
      </c>
    </row>
    <row r="7" spans="1:13" x14ac:dyDescent="0.35">
      <c r="A7" s="1" t="s">
        <v>16</v>
      </c>
      <c r="B7" s="1">
        <v>8000</v>
      </c>
      <c r="C7" s="1">
        <v>500</v>
      </c>
      <c r="D7" s="1">
        <v>15</v>
      </c>
      <c r="E7" s="1">
        <f t="shared" si="0"/>
        <v>1200</v>
      </c>
      <c r="F7" s="1">
        <v>500</v>
      </c>
      <c r="G7" s="1">
        <f t="shared" si="1"/>
        <v>1700</v>
      </c>
      <c r="H7" s="1">
        <f t="shared" si="2"/>
        <v>8500</v>
      </c>
      <c r="I7" s="1">
        <f t="shared" si="3"/>
        <v>6800</v>
      </c>
      <c r="J7" s="1" t="str">
        <f t="shared" si="4"/>
        <v>Over Deduct</v>
      </c>
      <c r="M7" t="s">
        <v>22</v>
      </c>
    </row>
    <row r="11" spans="1:13" x14ac:dyDescent="0.35">
      <c r="A11" s="3" t="s">
        <v>17</v>
      </c>
      <c r="B11" s="3" t="s">
        <v>18</v>
      </c>
      <c r="C11" s="3" t="s">
        <v>19</v>
      </c>
    </row>
    <row r="12" spans="1:13" x14ac:dyDescent="0.35">
      <c r="A12" s="5" t="s">
        <v>1</v>
      </c>
      <c r="B12" s="3">
        <v>26000</v>
      </c>
      <c r="C12" s="3" t="str">
        <f>IF(OR(A12="Basic Sallary",A12="Allowences",A12="Gross Sallary",A12="Net Sallary"),"Income","Expence")</f>
        <v>Income</v>
      </c>
    </row>
    <row r="13" spans="1:13" x14ac:dyDescent="0.35">
      <c r="A13" s="5" t="s">
        <v>11</v>
      </c>
      <c r="B13" s="3">
        <v>5200</v>
      </c>
      <c r="C13" s="3" t="str">
        <f t="shared" ref="C13:C18" si="5">IF(OR(A13="Basic Sallary",A13="Allowences",A13="Gross Sallary",A13="Net Sallary"),"Income","Expence")</f>
        <v>Income</v>
      </c>
    </row>
    <row r="14" spans="1:13" x14ac:dyDescent="0.35">
      <c r="A14" s="5" t="s">
        <v>5</v>
      </c>
      <c r="B14" s="3">
        <v>31200</v>
      </c>
      <c r="C14" s="3" t="str">
        <f t="shared" si="5"/>
        <v>Income</v>
      </c>
    </row>
    <row r="15" spans="1:13" x14ac:dyDescent="0.35">
      <c r="A15" s="5" t="s">
        <v>25</v>
      </c>
      <c r="B15" s="3">
        <v>3650</v>
      </c>
      <c r="C15" s="3" t="str">
        <f t="shared" si="5"/>
        <v>Expence</v>
      </c>
    </row>
    <row r="16" spans="1:13" x14ac:dyDescent="0.35">
      <c r="A16" s="5" t="s">
        <v>23</v>
      </c>
      <c r="B16" s="3">
        <v>2400</v>
      </c>
      <c r="C16" s="3" t="str">
        <f t="shared" si="5"/>
        <v>Expence</v>
      </c>
    </row>
    <row r="17" spans="1:3" x14ac:dyDescent="0.35">
      <c r="A17" s="5" t="s">
        <v>24</v>
      </c>
      <c r="B17" s="3">
        <v>6050</v>
      </c>
      <c r="C17" s="3" t="str">
        <f t="shared" si="5"/>
        <v>Expence</v>
      </c>
    </row>
    <row r="18" spans="1:3" x14ac:dyDescent="0.35">
      <c r="A18" s="5" t="s">
        <v>6</v>
      </c>
      <c r="B18" s="3">
        <v>25150</v>
      </c>
      <c r="C18" s="3" t="str">
        <f t="shared" si="5"/>
        <v>Income</v>
      </c>
    </row>
  </sheetData>
  <mergeCells count="1">
    <mergeCell ref="A1:J1"/>
  </mergeCells>
  <phoneticPr fontId="3" type="noConversion"/>
  <conditionalFormatting sqref="J3:J7">
    <cfRule type="expression" dxfId="9" priority="3">
      <formula>$J3="Over Deduct"</formula>
    </cfRule>
    <cfRule type="expression" dxfId="8" priority="2">
      <formula>$J3="In Range Deduct"</formula>
    </cfRule>
  </conditionalFormatting>
  <conditionalFormatting sqref="M3:M7">
    <cfRule type="expression" dxfId="7" priority="1">
      <formula>$M3="Over Deduct"</formula>
    </cfRule>
  </conditionalFormatting>
  <dataValidations count="1">
    <dataValidation type="custom" allowBlank="1" showInputMessage="1" showErrorMessage="1" sqref="A12:A18" xr:uid="{2E132A10-C68D-48EB-A97A-ACC413E8B979}">
      <formula1>OR(A12="Basic Sallary",A12="Allowences",A12="Gross Sallary",A12="Tex Deduct",A12="Loan Deduct",A12="Total Deduct",A12="Net Sallary")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Turnago 1</dc:creator>
  <cp:lastModifiedBy>Turnago 1</cp:lastModifiedBy>
  <dcterms:created xsi:type="dcterms:W3CDTF">2015-06-05T18:17:20Z</dcterms:created>
  <dcterms:modified xsi:type="dcterms:W3CDTF">2026-03-11T10:59:24Z</dcterms:modified>
</cp:coreProperties>
</file>