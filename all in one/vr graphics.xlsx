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mputer Operation\CO Batch-02\Class-53\"/>
    </mc:Choice>
  </mc:AlternateContent>
  <xr:revisionPtr revIDLastSave="0" documentId="13_ncr:1_{52271282-BEB3-41EE-98D5-A319B41F36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J20" i="1"/>
  <c r="I20" i="1"/>
  <c r="H20" i="1"/>
  <c r="G20" i="1"/>
  <c r="F20" i="1"/>
  <c r="E20" i="1"/>
  <c r="D20" i="1"/>
  <c r="C20" i="1"/>
  <c r="M5" i="1"/>
  <c r="L5" i="1"/>
  <c r="K6" i="1"/>
  <c r="K7" i="1"/>
  <c r="K8" i="1"/>
  <c r="K9" i="1"/>
  <c r="K10" i="1"/>
  <c r="K11" i="1"/>
  <c r="K12" i="1"/>
  <c r="K13" i="1"/>
  <c r="K14" i="1"/>
  <c r="K5" i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H6" i="1"/>
  <c r="H7" i="1"/>
  <c r="H8" i="1"/>
  <c r="H9" i="1"/>
  <c r="H10" i="1"/>
  <c r="H11" i="1"/>
  <c r="H12" i="1"/>
  <c r="H13" i="1"/>
  <c r="H14" i="1"/>
  <c r="H5" i="1"/>
  <c r="F6" i="1"/>
  <c r="F7" i="1"/>
  <c r="F8" i="1"/>
  <c r="F9" i="1"/>
  <c r="F10" i="1"/>
  <c r="F11" i="1"/>
  <c r="F12" i="1"/>
  <c r="F13" i="1"/>
  <c r="F14" i="1"/>
  <c r="E6" i="1"/>
  <c r="E7" i="1"/>
  <c r="E8" i="1"/>
  <c r="E9" i="1"/>
  <c r="E10" i="1"/>
  <c r="E11" i="1"/>
  <c r="E12" i="1"/>
  <c r="E13" i="1"/>
  <c r="E14" i="1"/>
  <c r="E5" i="1"/>
  <c r="F5" i="1" s="1"/>
</calcChain>
</file>

<file path=xl/sharedStrings.xml><?xml version="1.0" encoding="utf-8"?>
<sst xmlns="http://schemas.openxmlformats.org/spreadsheetml/2006/main" count="46" uniqueCount="31">
  <si>
    <t>VR Graphics</t>
  </si>
  <si>
    <t>Salary Sheet</t>
  </si>
  <si>
    <t>SI NO</t>
  </si>
  <si>
    <t>EMP ID</t>
  </si>
  <si>
    <t>Name</t>
  </si>
  <si>
    <t>Designation</t>
  </si>
  <si>
    <t>Basic Salary</t>
  </si>
  <si>
    <t>HR</t>
  </si>
  <si>
    <t>MA</t>
  </si>
  <si>
    <t>PF</t>
  </si>
  <si>
    <t>Gross Sallary</t>
  </si>
  <si>
    <t>IT</t>
  </si>
  <si>
    <t>Net 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</si>
  <si>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</si>
  <si>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</si>
  <si>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</si>
  <si>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</si>
  <si>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</si>
  <si>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</si>
  <si>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</si>
  <si>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</si>
  <si>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</si>
  <si>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</si>
  <si>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Principal</t>
  </si>
  <si>
    <t>JPO</t>
  </si>
  <si>
    <t>Trainer</t>
  </si>
  <si>
    <t>Lead Trainer</t>
  </si>
  <si>
    <t>IT Officer</t>
  </si>
  <si>
    <t>Max</t>
  </si>
  <si>
    <t>Min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</si>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</sst>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114300</xdr:rowOff>
    </xdr:from>
    <xdr:to>
      <xdr:col>3</xdr:col>
      <xdr:colOff>715519</xdr:colOff>
      <xdr:row>0</xdr:row>
      <xdr:rowOff>580644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B2598-7C07-40E7-8C4D-E56788EC3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1" y="114300"/>
          <a:ext cx="658368" cy="466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N20" sqref="N20"/>
    </sheetView>
  </sheetViews>
  <sheetFormatPr defaultRowHeight="14.5" x14ac:dyDescent="0.35"/>
  <cols>
    <col min="4" max="4" width="11.6328125" customWidth="1"/>
    <col min="5" max="5" width="10.6328125" customWidth="1"/>
    <col min="9" max="9" width="11.08984375" customWidth="1"/>
  </cols>
  <sheetData>
    <row r="1" spans="1:16" ht="50.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6" ht="17.5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6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6" x14ac:dyDescent="0.35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28</v>
      </c>
      <c r="M4" s="1" t="s">
        <v>29</v>
      </c>
    </row>
    <row r="5" spans="1:16" x14ac:dyDescent="0.35">
      <c r="A5" s="1">
        <v>1</v>
      </c>
      <c r="B5" s="1">
        <v>101001</v>
      </c>
      <c r="C5" s="1" t="s">
        <v>13</v>
      </c>
      <c r="D5" s="1" t="s">
        <v>23</v>
      </c>
      <c r="E5" s="1">
        <f>IF(D5="Principal",16000,IF(D5="JPO",9000,IF(D5="Trainer",8500,IF(D5="Lead Trainer",9500,IF(D5="IT Officer",10000,0)))))</f>
        <v>16000</v>
      </c>
      <c r="F5" s="1">
        <f>IF(OR(D5="Principal",D5="IT Officer"),E5*55%,IF(OR(D5="Lead Trainer",D5="JPO"),E5*50%,E5*60%))</f>
        <v>8800</v>
      </c>
      <c r="G5" s="1">
        <v>1500</v>
      </c>
      <c r="H5" s="1">
        <f>E5*20%</f>
        <v>3200</v>
      </c>
      <c r="I5" s="1">
        <f>SUM(E5:G5)</f>
        <v>26300</v>
      </c>
      <c r="J5" s="1">
        <f>E5*15%</f>
        <v>2400</v>
      </c>
      <c r="K5" s="1">
        <f>I5-(H5+J5)</f>
        <v>20700</v>
      </c>
      <c r="L5" s="5">
        <f>MAX(K5:K14)</f>
        <v>20700</v>
      </c>
      <c r="M5" s="5">
        <f>MIN(K5:K14)</f>
        <v>11850</v>
      </c>
    </row>
    <row r="6" spans="1:16" x14ac:dyDescent="0.35">
      <c r="A6" s="1">
        <v>2</v>
      </c>
      <c r="B6" s="1">
        <v>101002</v>
      </c>
      <c r="C6" s="1" t="s">
        <v>14</v>
      </c>
      <c r="D6" s="1" t="s">
        <v>24</v>
      </c>
      <c r="E6" s="1">
        <f t="shared" ref="E6:E14" si="0">IF(D6="Principal",16000,IF(D6="JPO",9000,IF(D6="Trainer",8500,IF(D6="Lead Trainer",9500,IF(D6="IT Officer",10000,0)))))</f>
        <v>9000</v>
      </c>
      <c r="F6" s="1">
        <f t="shared" ref="F6:F14" si="1">IF(OR(D6="Principal",D6="IT Officer"),E6*55%,IF(OR(D6="Lead Trainer",D6="JPO"),E6*50%,E6*60%))</f>
        <v>4500</v>
      </c>
      <c r="G6" s="1">
        <v>1500</v>
      </c>
      <c r="H6" s="1">
        <f t="shared" ref="H6:H14" si="2">E6*20%</f>
        <v>1800</v>
      </c>
      <c r="I6" s="1">
        <f t="shared" ref="I6:I14" si="3">SUM(E6:G6)</f>
        <v>15000</v>
      </c>
      <c r="J6" s="1">
        <f t="shared" ref="J6:J14" si="4">E6*15%</f>
        <v>1350</v>
      </c>
      <c r="K6" s="1">
        <f t="shared" ref="K6:K14" si="5">I6-(H6+J6)</f>
        <v>11850</v>
      </c>
      <c r="L6" s="6"/>
      <c r="M6" s="6"/>
    </row>
    <row r="7" spans="1:16" x14ac:dyDescent="0.35">
      <c r="A7" s="1">
        <v>3</v>
      </c>
      <c r="B7" s="1">
        <v>101003</v>
      </c>
      <c r="C7" s="1" t="s">
        <v>15</v>
      </c>
      <c r="D7" s="1" t="s">
        <v>25</v>
      </c>
      <c r="E7" s="1">
        <f t="shared" si="0"/>
        <v>8500</v>
      </c>
      <c r="F7" s="1">
        <f t="shared" si="1"/>
        <v>5100</v>
      </c>
      <c r="G7" s="1">
        <v>1500</v>
      </c>
      <c r="H7" s="1">
        <f t="shared" si="2"/>
        <v>1700</v>
      </c>
      <c r="I7" s="1">
        <f t="shared" si="3"/>
        <v>15100</v>
      </c>
      <c r="J7" s="1">
        <f t="shared" si="4"/>
        <v>1275</v>
      </c>
      <c r="K7" s="1">
        <f t="shared" si="5"/>
        <v>12125</v>
      </c>
      <c r="L7" s="6"/>
      <c r="M7" s="6"/>
    </row>
    <row r="8" spans="1:16" x14ac:dyDescent="0.35">
      <c r="A8" s="1">
        <v>4</v>
      </c>
      <c r="B8" s="1">
        <v>101004</v>
      </c>
      <c r="C8" s="1" t="s">
        <v>16</v>
      </c>
      <c r="D8" s="1" t="s">
        <v>26</v>
      </c>
      <c r="E8" s="1">
        <f t="shared" si="0"/>
        <v>9500</v>
      </c>
      <c r="F8" s="1">
        <f t="shared" si="1"/>
        <v>4750</v>
      </c>
      <c r="G8" s="1">
        <v>1500</v>
      </c>
      <c r="H8" s="1">
        <f t="shared" si="2"/>
        <v>1900</v>
      </c>
      <c r="I8" s="1">
        <f t="shared" si="3"/>
        <v>15750</v>
      </c>
      <c r="J8" s="1">
        <f t="shared" si="4"/>
        <v>1425</v>
      </c>
      <c r="K8" s="1">
        <f t="shared" si="5"/>
        <v>12425</v>
      </c>
      <c r="L8" s="6"/>
      <c r="M8" s="6"/>
    </row>
    <row r="9" spans="1:16" x14ac:dyDescent="0.35">
      <c r="A9" s="1">
        <v>5</v>
      </c>
      <c r="B9" s="1">
        <v>101005</v>
      </c>
      <c r="C9" s="1" t="s">
        <v>17</v>
      </c>
      <c r="D9" s="1" t="s">
        <v>25</v>
      </c>
      <c r="E9" s="1">
        <f t="shared" si="0"/>
        <v>8500</v>
      </c>
      <c r="F9" s="1">
        <f t="shared" si="1"/>
        <v>5100</v>
      </c>
      <c r="G9" s="1">
        <v>1500</v>
      </c>
      <c r="H9" s="1">
        <f t="shared" si="2"/>
        <v>1700</v>
      </c>
      <c r="I9" s="1">
        <f t="shared" si="3"/>
        <v>15100</v>
      </c>
      <c r="J9" s="1">
        <f t="shared" si="4"/>
        <v>1275</v>
      </c>
      <c r="K9" s="1">
        <f t="shared" si="5"/>
        <v>12125</v>
      </c>
      <c r="L9" s="6"/>
      <c r="M9" s="6"/>
    </row>
    <row r="10" spans="1:16" x14ac:dyDescent="0.35">
      <c r="A10" s="1">
        <v>6</v>
      </c>
      <c r="B10" s="1">
        <v>101006</v>
      </c>
      <c r="C10" s="1" t="s">
        <v>18</v>
      </c>
      <c r="D10" s="1" t="s">
        <v>26</v>
      </c>
      <c r="E10" s="1">
        <f t="shared" si="0"/>
        <v>9500</v>
      </c>
      <c r="F10" s="1">
        <f t="shared" si="1"/>
        <v>4750</v>
      </c>
      <c r="G10" s="1">
        <v>1500</v>
      </c>
      <c r="H10" s="1">
        <f t="shared" si="2"/>
        <v>1900</v>
      </c>
      <c r="I10" s="1">
        <f t="shared" si="3"/>
        <v>15750</v>
      </c>
      <c r="J10" s="1">
        <f t="shared" si="4"/>
        <v>1425</v>
      </c>
      <c r="K10" s="1">
        <f t="shared" si="5"/>
        <v>12425</v>
      </c>
      <c r="L10" s="6"/>
      <c r="M10" s="6"/>
    </row>
    <row r="11" spans="1:16" x14ac:dyDescent="0.35">
      <c r="A11" s="1">
        <v>7</v>
      </c>
      <c r="B11" s="1">
        <v>101007</v>
      </c>
      <c r="C11" s="1" t="s">
        <v>19</v>
      </c>
      <c r="D11" s="1" t="s">
        <v>27</v>
      </c>
      <c r="E11" s="1">
        <f t="shared" si="0"/>
        <v>10000</v>
      </c>
      <c r="F11" s="1">
        <f t="shared" si="1"/>
        <v>5500</v>
      </c>
      <c r="G11" s="1">
        <v>1500</v>
      </c>
      <c r="H11" s="1">
        <f t="shared" si="2"/>
        <v>2000</v>
      </c>
      <c r="I11" s="1">
        <f t="shared" si="3"/>
        <v>17000</v>
      </c>
      <c r="J11" s="1">
        <f t="shared" si="4"/>
        <v>1500</v>
      </c>
      <c r="K11" s="1">
        <f t="shared" si="5"/>
        <v>13500</v>
      </c>
      <c r="L11" s="6"/>
      <c r="M11" s="6"/>
      <c r="P11" s="3"/>
    </row>
    <row r="12" spans="1:16" x14ac:dyDescent="0.35">
      <c r="A12" s="1">
        <v>8</v>
      </c>
      <c r="B12" s="1">
        <v>101008</v>
      </c>
      <c r="C12" s="1" t="s">
        <v>20</v>
      </c>
      <c r="D12" s="1" t="s">
        <v>25</v>
      </c>
      <c r="E12" s="1">
        <f t="shared" si="0"/>
        <v>8500</v>
      </c>
      <c r="F12" s="1">
        <f t="shared" si="1"/>
        <v>5100</v>
      </c>
      <c r="G12" s="1">
        <v>1500</v>
      </c>
      <c r="H12" s="1">
        <f t="shared" si="2"/>
        <v>1700</v>
      </c>
      <c r="I12" s="1">
        <f t="shared" si="3"/>
        <v>15100</v>
      </c>
      <c r="J12" s="1">
        <f t="shared" si="4"/>
        <v>1275</v>
      </c>
      <c r="K12" s="1">
        <f t="shared" si="5"/>
        <v>12125</v>
      </c>
      <c r="L12" s="6"/>
      <c r="M12" s="6"/>
      <c r="P12" s="3"/>
    </row>
    <row r="13" spans="1:16" x14ac:dyDescent="0.35">
      <c r="A13" s="1">
        <v>9</v>
      </c>
      <c r="B13" s="1">
        <v>101009</v>
      </c>
      <c r="C13" s="1" t="s">
        <v>21</v>
      </c>
      <c r="D13" s="1" t="s">
        <v>26</v>
      </c>
      <c r="E13" s="1">
        <f t="shared" si="0"/>
        <v>9500</v>
      </c>
      <c r="F13" s="1">
        <f t="shared" si="1"/>
        <v>4750</v>
      </c>
      <c r="G13" s="1">
        <v>1500</v>
      </c>
      <c r="H13" s="1">
        <f t="shared" si="2"/>
        <v>1900</v>
      </c>
      <c r="I13" s="1">
        <f t="shared" si="3"/>
        <v>15750</v>
      </c>
      <c r="J13" s="1">
        <f t="shared" si="4"/>
        <v>1425</v>
      </c>
      <c r="K13" s="1">
        <f t="shared" si="5"/>
        <v>12425</v>
      </c>
      <c r="L13" s="6"/>
      <c r="M13" s="6"/>
      <c r="P13" s="3"/>
    </row>
    <row r="14" spans="1:16" x14ac:dyDescent="0.35">
      <c r="A14" s="1">
        <v>10</v>
      </c>
      <c r="B14" s="1">
        <v>101010</v>
      </c>
      <c r="C14" s="1" t="s">
        <v>22</v>
      </c>
      <c r="D14" s="1" t="s">
        <v>25</v>
      </c>
      <c r="E14" s="1">
        <f t="shared" si="0"/>
        <v>8500</v>
      </c>
      <c r="F14" s="1">
        <f t="shared" si="1"/>
        <v>5100</v>
      </c>
      <c r="G14" s="1">
        <v>1500</v>
      </c>
      <c r="H14" s="1">
        <f t="shared" si="2"/>
        <v>1700</v>
      </c>
      <c r="I14" s="1">
        <f t="shared" si="3"/>
        <v>15100</v>
      </c>
      <c r="J14" s="1">
        <f t="shared" si="4"/>
        <v>1275</v>
      </c>
      <c r="K14" s="1">
        <f t="shared" si="5"/>
        <v>12125</v>
      </c>
      <c r="L14" s="7"/>
      <c r="M14" s="7"/>
      <c r="P14" s="3"/>
    </row>
    <row r="15" spans="1:16" x14ac:dyDescent="0.35">
      <c r="P15" s="3"/>
    </row>
    <row r="16" spans="1:16" x14ac:dyDescent="0.35">
      <c r="P16" s="3"/>
    </row>
    <row r="17" spans="2:16" x14ac:dyDescent="0.35">
      <c r="P17" s="3"/>
    </row>
    <row r="18" spans="2:16" x14ac:dyDescent="0.35">
      <c r="D18" s="4" t="s">
        <v>30</v>
      </c>
      <c r="E18" s="4"/>
      <c r="F18" s="4"/>
      <c r="P18" s="3"/>
    </row>
    <row r="19" spans="2:16" x14ac:dyDescent="0.35"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10</v>
      </c>
      <c r="J19" s="1" t="s">
        <v>11</v>
      </c>
      <c r="K19" s="1" t="s">
        <v>12</v>
      </c>
      <c r="P19" s="3"/>
    </row>
    <row r="20" spans="2:16" x14ac:dyDescent="0.35">
      <c r="B20">
        <v>101010</v>
      </c>
      <c r="C20" t="str">
        <f>VLOOKUP($B$20,$B$5:$K$14,2,FALSE)</f>
        <v>J</v>
      </c>
      <c r="D20" t="str">
        <f>VLOOKUP($B$20,$B$5:$K$14,3,FALSE)</f>
        <v>Trainer</v>
      </c>
      <c r="E20">
        <f>VLOOKUP($B$20,$B$5:$K$14,4,FALSE)</f>
        <v>8500</v>
      </c>
      <c r="F20">
        <f>VLOOKUP($B$20,$B$5:$K$14,5,FALSE)</f>
        <v>5100</v>
      </c>
      <c r="G20">
        <f>VLOOKUP($B$20,$B$5:$K$14,6,FALSE)</f>
        <v>1500</v>
      </c>
      <c r="H20">
        <f>VLOOKUP($B$20,$B$5:$K$14,7,FALSE)</f>
        <v>1700</v>
      </c>
      <c r="I20">
        <f>VLOOKUP($B$20,$B$5:$K$14,8,FALSE)</f>
        <v>15100</v>
      </c>
      <c r="J20">
        <f>VLOOKUP($B$20,$B$5:$K$14,9,FALSE)</f>
        <v>1275</v>
      </c>
      <c r="K20">
        <f>VLOOKUP($B$20,$B$5:$K$14,10,FALSE)</f>
        <v>12125</v>
      </c>
      <c r="P20" s="3"/>
    </row>
  </sheetData>
  <mergeCells count="6">
    <mergeCell ref="D18:F18"/>
    <mergeCell ref="L5:L14"/>
    <mergeCell ref="M5:M14"/>
    <mergeCell ref="A1:M1"/>
    <mergeCell ref="A2:M2"/>
    <mergeCell ref="A3:M3"/>
  </mergeCells>
  <dataValidations count="4">
    <dataValidation type="custom" allowBlank="1" showInputMessage="1" showErrorMessage="1" sqref="P11:P20" xr:uid="{125035A3-03DB-447B-AFD3-63C1906E1447}">
      <formula1>AND(LEN(P11)=6,ISNUMBER(P11))</formula1>
    </dataValidation>
    <dataValidation type="list" allowBlank="1" showInputMessage="1" showErrorMessage="1" sqref="D5:D14" xr:uid="{FE49F5B4-4176-4F38-B52A-31FCC3CBD761}">
      <formula1>"Principal, JPO, Trainer, Lead Trainer, IT Officer"</formula1>
    </dataValidation>
    <dataValidation type="list" allowBlank="1" showInputMessage="1" showErrorMessage="1" sqref="B20" xr:uid="{6333E853-A38B-451D-95F9-76B68247BA2D}">
      <formula1>$B$5:$B$14</formula1>
    </dataValidation>
    <dataValidation type="custom" allowBlank="1" showInputMessage="1" showErrorMessage="1" sqref="B5:B14" xr:uid="{44B4E80A-D2AA-44DF-8AEE-D0FBE5C91E7A}">
      <formula1>AND(LEN(B5)=6,ISNUMBER(B5),COUNTIF($B$5:$B$14,B5)=1)</formula1>
    </dataValidation>
  </dataValidation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Mehedi Alam</cp:lastModifiedBy>
  <cp:lastPrinted>2026-02-19T09:07:30Z</cp:lastPrinted>
  <dcterms:created xsi:type="dcterms:W3CDTF">2015-06-05T18:17:20Z</dcterms:created>
  <dcterms:modified xsi:type="dcterms:W3CDTF">2026-04-26T10:03:20Z</dcterms:modified>
</cp:coreProperties>
</file>