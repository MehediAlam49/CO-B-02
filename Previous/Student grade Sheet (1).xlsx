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7D801CED-B40F-48EA-89F9-45B16B3FF6F2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16" i="2" l="1"/>
  <c r="M13" i="1"/>
  <c r="C14" i="1"/>
  <c r="M14" i="1"/>
  <c r="M15" i="1"/>
  <c r="R5" i="2"/>
  <c r="M6" i="2"/>
  <c r="M7" i="2"/>
  <c r="M8" i="2"/>
  <c r="M9" i="2"/>
  <c r="M5" i="2"/>
  <c r="L6" i="2"/>
  <c r="L7" i="2"/>
  <c r="L8" i="2"/>
  <c r="L9" i="2"/>
  <c r="L5" i="2"/>
  <c r="K6" i="2"/>
  <c r="K7" i="2"/>
  <c r="K8" i="2"/>
  <c r="K9" i="2"/>
  <c r="K5" i="2"/>
  <c r="J6" i="2"/>
  <c r="J7" i="2"/>
  <c r="J8" i="2"/>
  <c r="J9" i="2"/>
  <c r="J5" i="2"/>
  <c r="I6" i="2"/>
  <c r="I7" i="2"/>
  <c r="I8" i="2"/>
  <c r="I9" i="2"/>
  <c r="I5" i="2"/>
  <c r="D5" i="2"/>
  <c r="H6" i="2"/>
  <c r="H7" i="2"/>
  <c r="H8" i="2"/>
  <c r="H9" i="2"/>
  <c r="H5" i="2"/>
  <c r="F6" i="2"/>
  <c r="F7" i="2"/>
  <c r="F8" i="2"/>
  <c r="F9" i="2"/>
  <c r="F5" i="2"/>
  <c r="D6" i="2"/>
  <c r="D7" i="2"/>
  <c r="D8" i="2"/>
  <c r="D9" i="2"/>
  <c r="H12" i="2"/>
  <c r="M9" i="1"/>
  <c r="M5" i="1"/>
  <c r="L7" i="1"/>
  <c r="K8" i="1"/>
  <c r="K9" i="1"/>
  <c r="K5" i="1"/>
  <c r="J6" i="1"/>
  <c r="M6" i="1" s="1"/>
  <c r="J7" i="1"/>
  <c r="M7" i="1" s="1"/>
  <c r="J8" i="1"/>
  <c r="L8" i="1" s="1"/>
  <c r="J9" i="1"/>
  <c r="L9" i="1" s="1"/>
  <c r="J5" i="1"/>
  <c r="L5" i="1" s="1"/>
  <c r="I6" i="1"/>
  <c r="I7" i="1"/>
  <c r="I8" i="1"/>
  <c r="I9" i="1"/>
  <c r="I5" i="1"/>
  <c r="M12" i="1"/>
  <c r="H6" i="1"/>
  <c r="H7" i="1"/>
  <c r="H8" i="1"/>
  <c r="H9" i="1"/>
  <c r="H5" i="1"/>
  <c r="F6" i="1"/>
  <c r="F7" i="1"/>
  <c r="F8" i="1"/>
  <c r="F9" i="1"/>
  <c r="F5" i="1"/>
  <c r="D6" i="1"/>
  <c r="D7" i="1"/>
  <c r="D8" i="1"/>
  <c r="D9" i="1"/>
  <c r="D5" i="1"/>
  <c r="E12" i="1"/>
  <c r="E11" i="1"/>
  <c r="H17" i="1"/>
  <c r="E10" i="1"/>
  <c r="B14" i="1"/>
  <c r="K7" i="1" l="1"/>
  <c r="M8" i="1"/>
  <c r="L6" i="1"/>
  <c r="K6" i="1"/>
  <c r="I11" i="1"/>
</calcChain>
</file>

<file path=xl/sharedStrings.xml><?xml version="1.0" encoding="utf-8"?>
<sst xmlns="http://schemas.openxmlformats.org/spreadsheetml/2006/main" count="63" uniqueCount="28">
  <si>
    <t>Student 
ID</t>
  </si>
  <si>
    <t>Student 
Name</t>
  </si>
  <si>
    <t>Marks</t>
  </si>
  <si>
    <t xml:space="preserve">Grade 
Point </t>
  </si>
  <si>
    <t>Total 
Marks</t>
  </si>
  <si>
    <t>Grade
Point
Average</t>
  </si>
  <si>
    <t>latter
Grade</t>
  </si>
  <si>
    <t>Position
(Rank)</t>
  </si>
  <si>
    <t>Comment
(pass/
Fail)</t>
  </si>
  <si>
    <t>Mathmatics</t>
  </si>
  <si>
    <t>ICT</t>
  </si>
  <si>
    <t>Bangla</t>
  </si>
  <si>
    <t>Student Result Sheet</t>
  </si>
  <si>
    <t>W</t>
  </si>
  <si>
    <t>X</t>
  </si>
  <si>
    <t>Y</t>
  </si>
  <si>
    <t>Z</t>
  </si>
  <si>
    <t>Abs</t>
  </si>
  <si>
    <t>S10001</t>
  </si>
  <si>
    <t>S10002</t>
  </si>
  <si>
    <t>S10003</t>
  </si>
  <si>
    <t>S10004</t>
  </si>
  <si>
    <t>S10005</t>
  </si>
  <si>
    <t>id</t>
  </si>
  <si>
    <t>and</t>
  </si>
  <si>
    <t>Vlookup</t>
  </si>
  <si>
    <t>Student
Name</t>
  </si>
  <si>
    <t>Grade point Average
GPA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</si>
</sst>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0.00000000"/>
  </numFmts>
  <fonts count="5" x14ac:knownFonts="1">
    <font>
      <sz val="11"/>
      <color theme="1"/>
      <name val="Calibri"/>
      <family val="2"/>
      <scheme val="minor"/>
    </font>
    <font>
      <sz val="17"/>
      <color theme="1"/>
      <name val="Times New Roman"/>
      <family val="1"/>
    </font>
    <font>
      <sz val="17"/>
      <color theme="1"/>
      <name val="Arial"/>
      <family val="2"/>
    </font>
    <font>
      <sz val="12"/>
      <color theme="1"/>
      <name val="Times New Roman"/>
      <family val="1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166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"/>
  <sheetViews>
    <sheetView workbookViewId="0">
      <selection activeCell="P20" sqref="P20"/>
    </sheetView>
  </sheetViews>
  <sheetFormatPr defaultRowHeight="15" x14ac:dyDescent="0.25"/>
  <cols>
    <col min="10" max="10" width="9.5703125" bestFit="1" customWidth="1"/>
    <col min="13" max="13" width="11.140625" customWidth="1"/>
  </cols>
  <sheetData>
    <row r="1" spans="1:13" ht="21.75" x14ac:dyDescent="0.3">
      <c r="A1" s="7" t="s">
        <v>12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13" ht="22.5" x14ac:dyDescent="0.35">
      <c r="A2" s="8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10"/>
    </row>
    <row r="3" spans="1:13" ht="15.75" x14ac:dyDescent="0.25">
      <c r="A3" s="3"/>
      <c r="B3" s="3"/>
      <c r="C3" s="6" t="s">
        <v>9</v>
      </c>
      <c r="D3" s="6"/>
      <c r="E3" s="6" t="s">
        <v>10</v>
      </c>
      <c r="F3" s="6"/>
      <c r="G3" s="6" t="s">
        <v>11</v>
      </c>
      <c r="H3" s="6"/>
      <c r="I3" s="3"/>
      <c r="J3" s="3"/>
      <c r="K3" s="3"/>
      <c r="L3" s="3"/>
      <c r="M3" s="3"/>
    </row>
    <row r="4" spans="1:13" ht="47.25" x14ac:dyDescent="0.25">
      <c r="A4" s="2" t="s">
        <v>0</v>
      </c>
      <c r="B4" s="2" t="s">
        <v>1</v>
      </c>
      <c r="C4" s="3" t="s">
        <v>2</v>
      </c>
      <c r="D4" s="2" t="s">
        <v>3</v>
      </c>
      <c r="E4" s="3" t="s">
        <v>2</v>
      </c>
      <c r="F4" s="2" t="s">
        <v>3</v>
      </c>
      <c r="G4" s="3" t="s">
        <v>2</v>
      </c>
      <c r="H4" s="2" t="s">
        <v>3</v>
      </c>
      <c r="I4" s="2" t="s">
        <v>4</v>
      </c>
      <c r="J4" s="2" t="s">
        <v>5</v>
      </c>
      <c r="K4" s="2" t="s">
        <v>6</v>
      </c>
      <c r="L4" s="2" t="s">
        <v>7</v>
      </c>
      <c r="M4" s="2" t="s">
        <v>8</v>
      </c>
    </row>
    <row r="5" spans="1:13" x14ac:dyDescent="0.25">
      <c r="A5" s="4" t="s">
        <v>18</v>
      </c>
      <c r="B5" s="4" t="s">
        <v>15</v>
      </c>
      <c r="C5" s="4">
        <v>75</v>
      </c>
      <c r="D5" s="4">
        <f>IF(C5="Abs","Absent",IF(C5&gt;=80,5,IF(C5&gt;=70,4,IF(C5&gt;=60,3,IF(C5&gt;=50,2,IF(C5&gt;=0,0,))))))</f>
        <v>4</v>
      </c>
      <c r="E5" s="4">
        <v>78</v>
      </c>
      <c r="F5" s="4">
        <f>IF(E5="Abs","Absent",IF(E5&gt;=80,5,IF(E5&gt;=70,4,IF(E5&gt;=60,3,IF(E5&gt;=50,2,IF(E5&gt;=0,0,))))))</f>
        <v>4</v>
      </c>
      <c r="G5" s="4">
        <v>43</v>
      </c>
      <c r="H5" s="4">
        <f>IF(G5="Abs","Absent",IF(G5&gt;=80,5,IF(G5&gt;=70,4,IF(G5&gt;=60,3,IF(G5&gt;=50,2,IF(G5&gt;=0,0,))))))</f>
        <v>0</v>
      </c>
      <c r="I5" s="4">
        <f>IF(OR(C5="Abs",E5="Abs",G5="Abs"),"Absent",SUM(C5,E5,G5))</f>
        <v>196</v>
      </c>
      <c r="J5" s="5">
        <f>IF(OR(D5="Absent",F5="Absent",H5="Absent"),"Absent",AVERAGE(D5,F5,H5))</f>
        <v>2.6666666666666665</v>
      </c>
      <c r="K5" s="4" t="str">
        <f>IF(J5="Absent","Absent",IF(J5=5,"A+",IF(J5&gt;=4,"A",IF(J5&gt;=3,"B",IF(J5&gt;=2,"C",IF(J5&lt;2,"F"))))))</f>
        <v>C</v>
      </c>
      <c r="L5" s="4">
        <f>IF(J5="Absent","Absent",RANK(J5,$J$5:$J$9,0))</f>
        <v>2</v>
      </c>
      <c r="M5" s="4" t="str">
        <f>IF(J5="Absent","Absent",IF(J5&gt;=2,"Pass","Fail"))</f>
        <v>Pass</v>
      </c>
    </row>
    <row r="6" spans="1:13" x14ac:dyDescent="0.25">
      <c r="A6" s="4" t="s">
        <v>19</v>
      </c>
      <c r="B6" s="4" t="s">
        <v>13</v>
      </c>
      <c r="C6" s="4">
        <v>35</v>
      </c>
      <c r="D6" s="4">
        <f t="shared" ref="D6:D9" si="0">IF(C6="Abs","Absent",IF(C6&gt;=80,5,IF(C6&gt;=70,4,IF(C6&gt;=60,3,IF(C6&gt;=50,2,IF(C6&gt;=0,0,))))))</f>
        <v>0</v>
      </c>
      <c r="E6" s="4" t="s">
        <v>17</v>
      </c>
      <c r="F6" s="4" t="str">
        <f t="shared" ref="F6:F9" si="1">IF(E6="Abs","Absent",IF(E6&gt;=80,5,IF(E6&gt;=70,4,IF(E6&gt;=60,3,IF(E6&gt;=50,2,IF(E6&gt;=0,0,))))))</f>
        <v>Absent</v>
      </c>
      <c r="G6" s="4">
        <v>81</v>
      </c>
      <c r="H6" s="4">
        <f t="shared" ref="H6:H9" si="2">IF(G6="Abs","Absent",IF(G6&gt;=80,5,IF(G6&gt;=70,4,IF(G6&gt;=60,3,IF(G6&gt;=50,2,IF(G6&gt;=0,0,))))))</f>
        <v>5</v>
      </c>
      <c r="I6" s="4" t="str">
        <f t="shared" ref="I6:I9" si="3">IF(OR(C6="Abs",E6="Abs",G6="Abs"),"Absent",SUM(C6,E6,G6))</f>
        <v>Absent</v>
      </c>
      <c r="J6" s="4" t="str">
        <f t="shared" ref="J6:J9" si="4">IF(OR(D6="Absent",F6="Absent",H6="Absent"),"Absent",AVERAGE(D6,F6,H6))</f>
        <v>Absent</v>
      </c>
      <c r="K6" s="4" t="str">
        <f t="shared" ref="K6:K9" si="5">IF(J6="Absent","Absent",IF(J6=5,"A+",IF(J6&gt;=4,"A",IF(J6&gt;=3,"B",IF(J6&gt;=2,"C",IF(J6&lt;2,"F"))))))</f>
        <v>Absent</v>
      </c>
      <c r="L6" s="4" t="str">
        <f t="shared" ref="L6:L9" si="6">IF(J6="Absent","Absent",RANK(J6,$J$5:$J$9,0))</f>
        <v>Absent</v>
      </c>
      <c r="M6" s="4" t="str">
        <f t="shared" ref="M6:M9" si="7">IF(J6="Absent","Absent",IF(J6&gt;=2,"Pass","Fail"))</f>
        <v>Absent</v>
      </c>
    </row>
    <row r="7" spans="1:13" x14ac:dyDescent="0.25">
      <c r="A7" s="4" t="s">
        <v>20</v>
      </c>
      <c r="B7" s="4" t="s">
        <v>14</v>
      </c>
      <c r="C7" s="4">
        <v>16</v>
      </c>
      <c r="D7" s="4">
        <f t="shared" si="0"/>
        <v>0</v>
      </c>
      <c r="E7" s="4">
        <v>60</v>
      </c>
      <c r="F7" s="4">
        <f t="shared" si="1"/>
        <v>3</v>
      </c>
      <c r="G7" s="4">
        <v>60</v>
      </c>
      <c r="H7" s="4">
        <f t="shared" si="2"/>
        <v>3</v>
      </c>
      <c r="I7" s="4">
        <f t="shared" si="3"/>
        <v>136</v>
      </c>
      <c r="J7" s="4">
        <f t="shared" si="4"/>
        <v>2</v>
      </c>
      <c r="K7" s="4" t="str">
        <f t="shared" si="5"/>
        <v>C</v>
      </c>
      <c r="L7" s="4">
        <f t="shared" si="6"/>
        <v>4</v>
      </c>
      <c r="M7" s="4" t="str">
        <f t="shared" si="7"/>
        <v>Pass</v>
      </c>
    </row>
    <row r="8" spans="1:13" x14ac:dyDescent="0.25">
      <c r="A8" s="4" t="s">
        <v>21</v>
      </c>
      <c r="B8" s="4" t="s">
        <v>15</v>
      </c>
      <c r="C8" s="4">
        <v>55</v>
      </c>
      <c r="D8" s="4">
        <f t="shared" si="0"/>
        <v>2</v>
      </c>
      <c r="E8" s="4">
        <v>63</v>
      </c>
      <c r="F8" s="4">
        <f t="shared" si="1"/>
        <v>3</v>
      </c>
      <c r="G8" s="4">
        <v>53</v>
      </c>
      <c r="H8" s="4">
        <f t="shared" si="2"/>
        <v>2</v>
      </c>
      <c r="I8" s="4">
        <f t="shared" si="3"/>
        <v>171</v>
      </c>
      <c r="J8" s="5">
        <f t="shared" si="4"/>
        <v>2.3333333333333335</v>
      </c>
      <c r="K8" s="4" t="str">
        <f t="shared" si="5"/>
        <v>C</v>
      </c>
      <c r="L8" s="4">
        <f t="shared" si="6"/>
        <v>3</v>
      </c>
      <c r="M8" s="4" t="str">
        <f t="shared" si="7"/>
        <v>Pass</v>
      </c>
    </row>
    <row r="9" spans="1:13" x14ac:dyDescent="0.25">
      <c r="A9" s="4" t="s">
        <v>22</v>
      </c>
      <c r="B9" s="4" t="s">
        <v>16</v>
      </c>
      <c r="C9" s="4">
        <v>99</v>
      </c>
      <c r="D9" s="4">
        <f t="shared" si="0"/>
        <v>5</v>
      </c>
      <c r="E9" s="4">
        <v>75</v>
      </c>
      <c r="F9" s="4">
        <f t="shared" si="1"/>
        <v>4</v>
      </c>
      <c r="G9" s="4">
        <v>74</v>
      </c>
      <c r="H9" s="4">
        <f t="shared" si="2"/>
        <v>4</v>
      </c>
      <c r="I9" s="4">
        <f t="shared" si="3"/>
        <v>248</v>
      </c>
      <c r="J9" s="5">
        <f t="shared" si="4"/>
        <v>4.333333333333333</v>
      </c>
      <c r="K9" s="4" t="str">
        <f t="shared" si="5"/>
        <v>A</v>
      </c>
      <c r="L9" s="4">
        <f t="shared" si="6"/>
        <v>1</v>
      </c>
      <c r="M9" s="4" t="str">
        <f t="shared" si="7"/>
        <v>Pass</v>
      </c>
    </row>
    <row r="10" spans="1:13" x14ac:dyDescent="0.25">
      <c r="D10" t="s">
        <v>23</v>
      </c>
      <c r="E10" t="b">
        <f>AND(COUNTIF($A$5:$A$9,A5),LEFT(A5,1)="S",LEN(A5)=6,ISNUMBER(VALUE(RIGHT(A5,5))))</f>
        <v>1</v>
      </c>
    </row>
    <row r="11" spans="1:13" x14ac:dyDescent="0.25">
      <c r="D11" t="s">
        <v>24</v>
      </c>
      <c r="E11" t="b">
        <f>AND(E5&gt;70,E5&gt;61)</f>
        <v>1</v>
      </c>
      <c r="I11" t="e">
        <f>IF(OR(C5="Abs",E5="Abs",#REF!="Abs"),"Absent",SUM(C5,E5,G5))</f>
        <v>#REF!</v>
      </c>
    </row>
    <row r="12" spans="1:13" ht="30" x14ac:dyDescent="0.25">
      <c r="D12" s="1" t="s">
        <v>3</v>
      </c>
      <c r="E12">
        <f>IF(C5&gt;80,5,IF(C5&gt;70,4,IF(C5&gt;60,3,IF(C5&gt;50,2,IF(C5&gt;0,0,IF(C5="Abs","Absent"))))))</f>
        <v>4</v>
      </c>
      <c r="M12" t="e">
        <f>IF(OR(C5="Abs",E5="Abs",#REF!="Abs"),"Absent",SUM(C5,E5,G5))</f>
        <v>#REF!</v>
      </c>
    </row>
    <row r="13" spans="1:13" x14ac:dyDescent="0.25">
      <c r="M13" t="e">
        <f>IF(OR(C6="Abs",E6="Abs",#REF!="Abs"),"Absent",SUM(C6,E6,G6))</f>
        <v>#REF!</v>
      </c>
    </row>
    <row r="14" spans="1:13" x14ac:dyDescent="0.25">
      <c r="B14">
        <f>COUNT(C5:C9)</f>
        <v>5</v>
      </c>
      <c r="C14" t="b">
        <f>ISNUMBER(E5)</f>
        <v>1</v>
      </c>
      <c r="M14" t="e">
        <f>IF(OR(C7="Abs",E7="Abs",#REF!="Abs"),"Absent",SUM(C7,E7,G7))</f>
        <v>#REF!</v>
      </c>
    </row>
    <row r="15" spans="1:13" x14ac:dyDescent="0.25">
      <c r="M15" t="e">
        <f>IF(OR(C8="Abs",E8="Abs",#REF!="Abs"),"Absent",SUM(C8,E8,G8))</f>
        <v>#REF!</v>
      </c>
    </row>
    <row r="17" spans="8:8" x14ac:dyDescent="0.25">
      <c r="H17" t="b">
        <f>AND(LEN(A5)=6,LEFT(A5,1)="S",COUNTIF($A$5:$A$9,A5)=1,ISNUMBER(VALUE(RIGHT(A5,5))))</f>
        <v>1</v>
      </c>
    </row>
  </sheetData>
  <dataConsolidate/>
  <mergeCells count="5">
    <mergeCell ref="C3:D3"/>
    <mergeCell ref="E3:F3"/>
    <mergeCell ref="G3:H3"/>
    <mergeCell ref="A1:M1"/>
    <mergeCell ref="A2:M2"/>
  </mergeCells>
  <dataValidations count="1">
    <dataValidation type="custom" allowBlank="1" showInputMessage="1" showErrorMessage="1" sqref="A5:A9" xr:uid="{00000000-0002-0000-0000-000000000000}">
      <formula1>AND(LEN(A5)=6,LEFT(A5,1)="S",COUNTIF($A$5:$A$9,A5)=1,ISNUMBER(VALUE(RIGHT(A5,5))))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E5492-F9B6-48CF-9B11-35378A1B7786}">
  <dimension ref="A1:R16"/>
  <sheetViews>
    <sheetView tabSelected="1" workbookViewId="0">
      <selection activeCell="J19" sqref="J19"/>
    </sheetView>
  </sheetViews>
  <sheetFormatPr defaultRowHeight="15" x14ac:dyDescent="0.25"/>
  <cols>
    <col min="1" max="2" width="7.42578125" bestFit="1" customWidth="1"/>
    <col min="3" max="3" width="6.42578125" bestFit="1" customWidth="1"/>
    <col min="4" max="4" width="6.140625" bestFit="1" customWidth="1"/>
    <col min="5" max="5" width="8.42578125" bestFit="1" customWidth="1"/>
    <col min="6" max="6" width="8.28515625" bestFit="1" customWidth="1"/>
    <col min="7" max="7" width="6.42578125" bestFit="1" customWidth="1"/>
    <col min="8" max="8" width="6.140625" bestFit="1" customWidth="1"/>
    <col min="9" max="9" width="6.5703125" bestFit="1" customWidth="1"/>
    <col min="10" max="10" width="8.140625" bestFit="1" customWidth="1"/>
    <col min="11" max="11" width="6.5703125" bestFit="1" customWidth="1"/>
    <col min="12" max="12" width="7.85546875" bestFit="1" customWidth="1"/>
    <col min="13" max="13" width="11.5703125" customWidth="1"/>
  </cols>
  <sheetData>
    <row r="1" spans="1:18" ht="21.75" x14ac:dyDescent="0.3">
      <c r="A1" s="7" t="s">
        <v>12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</row>
    <row r="2" spans="1:18" ht="22.5" x14ac:dyDescent="0.35">
      <c r="A2" s="8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10"/>
    </row>
    <row r="3" spans="1:18" ht="15.75" x14ac:dyDescent="0.25">
      <c r="A3" s="3"/>
      <c r="B3" s="3"/>
      <c r="C3" s="6" t="s">
        <v>9</v>
      </c>
      <c r="D3" s="6"/>
      <c r="E3" s="6" t="s">
        <v>10</v>
      </c>
      <c r="F3" s="6"/>
      <c r="G3" s="6" t="s">
        <v>11</v>
      </c>
      <c r="H3" s="6"/>
      <c r="I3" s="3"/>
      <c r="J3" s="3"/>
      <c r="K3" s="3"/>
      <c r="L3" s="3"/>
      <c r="M3" s="3"/>
    </row>
    <row r="4" spans="1:18" ht="63" x14ac:dyDescent="0.25">
      <c r="A4" s="2" t="s">
        <v>0</v>
      </c>
      <c r="B4" s="2" t="s">
        <v>1</v>
      </c>
      <c r="C4" s="3" t="s">
        <v>2</v>
      </c>
      <c r="D4" s="2" t="s">
        <v>3</v>
      </c>
      <c r="E4" s="3" t="s">
        <v>2</v>
      </c>
      <c r="F4" s="2" t="s">
        <v>3</v>
      </c>
      <c r="G4" s="3" t="s">
        <v>2</v>
      </c>
      <c r="H4" s="2" t="s">
        <v>3</v>
      </c>
      <c r="I4" s="2" t="s">
        <v>4</v>
      </c>
      <c r="J4" s="2" t="s">
        <v>5</v>
      </c>
      <c r="K4" s="2" t="s">
        <v>6</v>
      </c>
      <c r="L4" s="2" t="s">
        <v>7</v>
      </c>
      <c r="M4" s="2" t="s">
        <v>8</v>
      </c>
    </row>
    <row r="5" spans="1:18" x14ac:dyDescent="0.25">
      <c r="A5" s="4" t="s">
        <v>18</v>
      </c>
      <c r="B5" s="4" t="s">
        <v>15</v>
      </c>
      <c r="C5" s="4">
        <v>75</v>
      </c>
      <c r="D5" s="4">
        <f>IF(C5="Abs","Absent",IF(C5&gt;=80,5,IF(C5&gt;=70,4,IF(C5&gt;=60,3,IF(C5&gt;=50,2,IF(C5&gt;=0,0))))))</f>
        <v>4</v>
      </c>
      <c r="E5" s="4">
        <v>78</v>
      </c>
      <c r="F5" s="4">
        <f>IF(E5="Abs","Absent",IF(E5&gt;=80,5,IF(E5&gt;=70,4,IF(E5&gt;=60,3,IF(E5&gt;=50,2,IF(E5&gt;=0,0))))))</f>
        <v>4</v>
      </c>
      <c r="G5" s="4">
        <v>43</v>
      </c>
      <c r="H5" s="4">
        <f>IF(G5="Abs","Absent",IF(G5&gt;=80,5,IF(G5&gt;=70,4,IF(G5&gt;=60,3,IF(G5&gt;=50,2,IF(G5&gt;=0,0))))))</f>
        <v>0</v>
      </c>
      <c r="I5" s="4">
        <f>IF(OR(C5="Abs",E5="Abs",G5="Abs"),"Absent",SUM(C5,E5,G5))</f>
        <v>196</v>
      </c>
      <c r="J5" s="5">
        <f>IF(OR(D5="Absent",F5="Absent",H5="Absent"),"Absent",AVERAGE(D5,F5,H5))</f>
        <v>2.6666666666666665</v>
      </c>
      <c r="K5" s="4" t="str">
        <f>IF(J5="Absent","Absent", IF(J5=5,"A+", IF(J5&gt;=4,"A",IF(J5&gt;=3,"B",IF(J5&gt;=2,"C", IF(J5&lt;2,"F"))))))</f>
        <v>C</v>
      </c>
      <c r="L5" s="4">
        <f>IF(J5="Absent","Absent",RANK(J5,$J$5:$J$9,0))</f>
        <v>2</v>
      </c>
      <c r="M5" s="4" t="str">
        <f>IF(J5="Absent","Absent",IF(J5&gt;=2,"Pass","Fail"))</f>
        <v>Pass</v>
      </c>
      <c r="R5">
        <f>24*90%</f>
        <v>21.6</v>
      </c>
    </row>
    <row r="6" spans="1:18" x14ac:dyDescent="0.25">
      <c r="A6" s="4" t="s">
        <v>19</v>
      </c>
      <c r="B6" s="4" t="s">
        <v>13</v>
      </c>
      <c r="C6" s="4">
        <v>35</v>
      </c>
      <c r="D6" s="4">
        <f t="shared" ref="D6:D9" si="0">IF(C6="Abs","Absent",IF(C6&gt;=80,5,IF(C6&gt;=70,4,IF(C6&gt;=60,3,IF(C6&gt;=50,2,IF(C6&gt;=0,0))))))</f>
        <v>0</v>
      </c>
      <c r="E6" s="4" t="s">
        <v>17</v>
      </c>
      <c r="F6" s="4" t="str">
        <f t="shared" ref="F6:F9" si="1">IF(E6="Abs","Absent",IF(E6&gt;=80,5,IF(E6&gt;=70,4,IF(E6&gt;=60,3,IF(E6&gt;=50,2,IF(E6&gt;=0,0))))))</f>
        <v>Absent</v>
      </c>
      <c r="G6" s="4">
        <v>81</v>
      </c>
      <c r="H6" s="4">
        <f t="shared" ref="H6:H9" si="2">IF(G6="Abs","Absent",IF(G6&gt;=80,5,IF(G6&gt;=70,4,IF(G6&gt;=60,3,IF(G6&gt;=50,2,IF(G6&gt;=0,0))))))</f>
        <v>5</v>
      </c>
      <c r="I6" s="4" t="str">
        <f t="shared" ref="I6:I9" si="3">IF(OR(C6="Abs",E6="Abs",G6="Abs"),"Absent",SUM(C6,E6,G6))</f>
        <v>Absent</v>
      </c>
      <c r="J6" s="5" t="str">
        <f t="shared" ref="J6:J9" si="4">IF(OR(D6="Absent",F6="Absent",H6="Absent"),"Absent",AVERAGE(D6,F6,H6))</f>
        <v>Absent</v>
      </c>
      <c r="K6" s="4" t="str">
        <f t="shared" ref="K6:K9" si="5">IF(J6="Absent","Absent", IF(J6=5,"A+", IF(J6&gt;=4,"A",IF(J6&gt;=3,"B",IF(J6&gt;=2,"C", IF(J6&lt;2,"F"))))))</f>
        <v>Absent</v>
      </c>
      <c r="L6" s="4" t="str">
        <f t="shared" ref="L6:L9" si="6">IF(J6="Absent","Absent",RANK(J6,$J$5:$J$9,0))</f>
        <v>Absent</v>
      </c>
      <c r="M6" s="4" t="str">
        <f t="shared" ref="M6:M9" si="7">IF(J6="Absent","Absent",IF(J6&gt;=2,"Pass","Fail"))</f>
        <v>Absent</v>
      </c>
    </row>
    <row r="7" spans="1:18" x14ac:dyDescent="0.25">
      <c r="A7" s="4" t="s">
        <v>20</v>
      </c>
      <c r="B7" s="4" t="s">
        <v>14</v>
      </c>
      <c r="C7" s="4">
        <v>16</v>
      </c>
      <c r="D7" s="4">
        <f t="shared" si="0"/>
        <v>0</v>
      </c>
      <c r="E7" s="4">
        <v>60</v>
      </c>
      <c r="F7" s="4">
        <f t="shared" si="1"/>
        <v>3</v>
      </c>
      <c r="G7" s="4">
        <v>60</v>
      </c>
      <c r="H7" s="4">
        <f t="shared" si="2"/>
        <v>3</v>
      </c>
      <c r="I7" s="4">
        <f t="shared" si="3"/>
        <v>136</v>
      </c>
      <c r="J7" s="5">
        <f t="shared" si="4"/>
        <v>2</v>
      </c>
      <c r="K7" s="4" t="str">
        <f t="shared" si="5"/>
        <v>C</v>
      </c>
      <c r="L7" s="4">
        <f t="shared" si="6"/>
        <v>4</v>
      </c>
      <c r="M7" s="4" t="str">
        <f t="shared" si="7"/>
        <v>Pass</v>
      </c>
    </row>
    <row r="8" spans="1:18" x14ac:dyDescent="0.25">
      <c r="A8" s="4" t="s">
        <v>21</v>
      </c>
      <c r="B8" s="4" t="s">
        <v>15</v>
      </c>
      <c r="C8" s="4">
        <v>55</v>
      </c>
      <c r="D8" s="4">
        <f t="shared" si="0"/>
        <v>2</v>
      </c>
      <c r="E8" s="4">
        <v>63</v>
      </c>
      <c r="F8" s="4">
        <f t="shared" si="1"/>
        <v>3</v>
      </c>
      <c r="G8" s="4">
        <v>53</v>
      </c>
      <c r="H8" s="4">
        <f t="shared" si="2"/>
        <v>2</v>
      </c>
      <c r="I8" s="4">
        <f t="shared" si="3"/>
        <v>171</v>
      </c>
      <c r="J8" s="5">
        <f t="shared" si="4"/>
        <v>2.3333333333333335</v>
      </c>
      <c r="K8" s="4" t="str">
        <f t="shared" si="5"/>
        <v>C</v>
      </c>
      <c r="L8" s="4">
        <f t="shared" si="6"/>
        <v>3</v>
      </c>
      <c r="M8" s="4" t="str">
        <f t="shared" si="7"/>
        <v>Pass</v>
      </c>
    </row>
    <row r="9" spans="1:18" x14ac:dyDescent="0.25">
      <c r="A9" s="4" t="s">
        <v>22</v>
      </c>
      <c r="B9" s="4" t="s">
        <v>16</v>
      </c>
      <c r="C9" s="4">
        <v>99</v>
      </c>
      <c r="D9" s="4">
        <f t="shared" si="0"/>
        <v>5</v>
      </c>
      <c r="E9" s="4">
        <v>75</v>
      </c>
      <c r="F9" s="4">
        <f t="shared" si="1"/>
        <v>4</v>
      </c>
      <c r="G9" s="4">
        <v>74</v>
      </c>
      <c r="H9" s="4">
        <f t="shared" si="2"/>
        <v>4</v>
      </c>
      <c r="I9" s="4">
        <f t="shared" si="3"/>
        <v>248</v>
      </c>
      <c r="J9" s="5">
        <f t="shared" si="4"/>
        <v>4.333333333333333</v>
      </c>
      <c r="K9" s="4" t="str">
        <f t="shared" si="5"/>
        <v>A</v>
      </c>
      <c r="L9" s="4">
        <f t="shared" si="6"/>
        <v>1</v>
      </c>
      <c r="M9" s="4" t="str">
        <f t="shared" si="7"/>
        <v>Pass</v>
      </c>
    </row>
    <row r="11" spans="1:18" x14ac:dyDescent="0.25">
      <c r="J11" s="1"/>
    </row>
    <row r="12" spans="1:18" x14ac:dyDescent="0.25">
      <c r="H12" t="b">
        <f>AND(LEN(A5)=6,LEFT(A5,1)="S",COUNTIF($A$5:$A$9,A5)=1,ISNUMBER(VALUE(RIGHT(A5,5))))</f>
        <v>1</v>
      </c>
    </row>
    <row r="14" spans="1:18" x14ac:dyDescent="0.25">
      <c r="E14" s="11" t="s">
        <v>25</v>
      </c>
      <c r="F14" s="11"/>
    </row>
    <row r="15" spans="1:18" ht="60" customHeight="1" x14ac:dyDescent="0.25">
      <c r="E15" s="1" t="s">
        <v>26</v>
      </c>
      <c r="F15" s="12" t="s">
        <v>27</v>
      </c>
      <c r="G15" s="12"/>
    </row>
    <row r="16" spans="1:18" x14ac:dyDescent="0.25">
      <c r="E16" t="s">
        <v>14</v>
      </c>
      <c r="F16" s="13">
        <f>VLOOKUP(E16,B5:J9,9,0)</f>
        <v>2</v>
      </c>
      <c r="G16" s="13"/>
    </row>
  </sheetData>
  <mergeCells count="8">
    <mergeCell ref="E14:F14"/>
    <mergeCell ref="F15:G15"/>
    <mergeCell ref="F16:G16"/>
    <mergeCell ref="A1:M1"/>
    <mergeCell ref="A2:M2"/>
    <mergeCell ref="C3:D3"/>
    <mergeCell ref="E3:F3"/>
    <mergeCell ref="G3:H3"/>
  </mergeCells>
  <phoneticPr fontId="4" type="noConversion"/>
  <dataValidations count="2">
    <dataValidation type="custom" allowBlank="1" showInputMessage="1" showErrorMessage="1" sqref="A5:A9" xr:uid="{72F3B6D6-67EE-45B2-ABD6-508A875ADB6E}">
      <formula1>AND(LEN(A5)=6,LEFT(A5,1)="S",COUNTIF($A$5:$A$9,A5)=1,ISNUMBER(VALUE(RIGHT(A5,5))))</formula1>
    </dataValidation>
    <dataValidation type="list" allowBlank="1" showInputMessage="1" showErrorMessage="1" sqref="E16" xr:uid="{5C6F331A-072C-4692-8058-E2B3E51CEC14}">
      <formula1>$B$5:$B$9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IMRAN</dc:creator>
  <cp:lastModifiedBy>Mehedi Alam</cp:lastModifiedBy>
  <dcterms:created xsi:type="dcterms:W3CDTF">2025-11-10T17:17:44Z</dcterms:created>
  <dcterms:modified xsi:type="dcterms:W3CDTF">2026-01-03T20:26:56Z</dcterms:modified>
</cp:coreProperties>
</file>