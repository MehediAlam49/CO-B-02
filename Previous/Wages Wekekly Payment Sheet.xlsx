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Excel Turnago\"/>
    </mc:Choice>
  </mc:AlternateContent>
  <bookViews>
    <workbookView xWindow="0" yWindow="0" windowWidth="20490" windowHeight="71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5" i="1" l="1"/>
  <c r="K6" i="1"/>
  <c r="K7" i="1"/>
  <c r="K8" i="1"/>
  <c r="K9" i="1"/>
  <c r="K10" i="1"/>
  <c r="K11" i="1"/>
  <c r="K12" i="1"/>
  <c r="K13" i="1"/>
  <c r="K4" i="1"/>
  <c r="J5" i="1"/>
  <c r="J6" i="1"/>
  <c r="J7" i="1"/>
  <c r="J8" i="1"/>
  <c r="J9" i="1"/>
  <c r="J10" i="1"/>
  <c r="J11" i="1"/>
  <c r="J12" i="1"/>
  <c r="J13" i="1"/>
  <c r="J4" i="1"/>
  <c r="I5" i="1"/>
  <c r="I6" i="1"/>
  <c r="I7" i="1"/>
  <c r="I8" i="1"/>
  <c r="I9" i="1"/>
  <c r="I10" i="1"/>
  <c r="I11" i="1"/>
  <c r="I12" i="1"/>
  <c r="I13" i="1"/>
  <c r="I4" i="1"/>
  <c r="G5" i="1"/>
  <c r="G6" i="1"/>
  <c r="G7" i="1"/>
  <c r="G8" i="1"/>
  <c r="G9" i="1"/>
  <c r="G10" i="1"/>
  <c r="G11" i="1"/>
  <c r="G12" i="1"/>
  <c r="G13" i="1"/>
  <c r="G4" i="1"/>
  <c r="F5" i="1"/>
  <c r="F6" i="1"/>
  <c r="F7" i="1"/>
  <c r="F8" i="1"/>
  <c r="F9" i="1"/>
  <c r="F10" i="1"/>
  <c r="F11" i="1"/>
  <c r="F12" i="1"/>
  <c r="F13" i="1"/>
  <c r="F4" i="1"/>
  <c r="R4" i="1"/>
  <c r="Q4" i="1"/>
  <c r="P4" i="1"/>
  <c r="O4" i="1"/>
  <c r="D15" i="1"/>
</calcChain>
</file>

<file path=xl/sharedStrings.xml><?xml version="1.0" encoding="utf-8"?>
<sst xmlns="http://schemas.openxmlformats.org/spreadsheetml/2006/main" count="56" uniqueCount="48">
  <si>
    <t>Sl</t>
  </si>
  <si>
    <t>Emp_ID</t>
  </si>
  <si>
    <t>Name</t>
  </si>
  <si>
    <t>Designation</t>
  </si>
  <si>
    <t>Hours/Week</t>
  </si>
  <si>
    <t>Basic
Wages</t>
  </si>
  <si>
    <t>Overtime
Wages</t>
  </si>
  <si>
    <t>Medical
Allowance</t>
  </si>
  <si>
    <t>Gross
Amount</t>
  </si>
  <si>
    <t>IT</t>
  </si>
  <si>
    <t>Net Amount</t>
  </si>
  <si>
    <t>Weekly Wages Sheet for Worker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</si>
  <si>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</si>
  <si>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</si>
  <si>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</si>
  <si>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</si>
  <si>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</si>
  <si>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</si>
  <si>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</si>
  <si>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</si>
  <si>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</si>
  <si>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</si>
  <si>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A</t>
  </si>
  <si>
    <t>B</t>
  </si>
  <si>
    <t>C</t>
  </si>
  <si>
    <t>D</t>
  </si>
  <si>
    <t>E</t>
  </si>
  <si>
    <t>F</t>
  </si>
  <si>
    <t>G</t>
  </si>
  <si>
    <t>H</t>
  </si>
  <si>
    <t>I</t>
  </si>
  <si>
    <t>Grade-1</t>
  </si>
  <si>
    <t xml:space="preserve">Grade-3 </t>
  </si>
  <si>
    <t xml:space="preserve">Grade-2 </t>
  </si>
  <si>
    <t>E101001</t>
  </si>
  <si>
    <t>E101002</t>
  </si>
  <si>
    <t>E101003</t>
  </si>
  <si>
    <t>E101004</t>
  </si>
  <si>
    <t>E101005</t>
  </si>
  <si>
    <t>E101006</t>
  </si>
  <si>
    <t>E101007</t>
  </si>
  <si>
    <t>E101008</t>
  </si>
  <si>
    <t>E101009</t>
  </si>
  <si>
    <t>E101010</t>
  </si>
  <si>
    <t>lengh</t>
  </si>
  <si>
    <t>left</t>
  </si>
  <si>
    <t>Gonona</t>
  </si>
  <si>
    <t>right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</si>
</sst>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6" formatCode="General\ &quot;TK&quot;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7"/>
  <sheetViews>
    <sheetView tabSelected="1" workbookViewId="0">
      <selection activeCell="I17" sqref="I17"/>
    </sheetView>
  </sheetViews>
  <sheetFormatPr defaultRowHeight="15" x14ac:dyDescent="0.25"/>
  <cols>
    <col min="2" max="2" width="7.7109375" bestFit="1" customWidth="1"/>
    <col min="3" max="3" width="6.28515625" bestFit="1" customWidth="1"/>
    <col min="4" max="4" width="11.5703125" bestFit="1" customWidth="1"/>
    <col min="5" max="5" width="12.140625" bestFit="1" customWidth="1"/>
    <col min="6" max="6" width="6.85546875" bestFit="1" customWidth="1"/>
    <col min="7" max="7" width="11.140625" customWidth="1"/>
    <col min="8" max="8" width="11.42578125" customWidth="1"/>
    <col min="9" max="9" width="10.140625" customWidth="1"/>
    <col min="10" max="10" width="4" bestFit="1" customWidth="1"/>
    <col min="11" max="11" width="8.140625" bestFit="1" customWidth="1"/>
  </cols>
  <sheetData>
    <row r="1" spans="1:18" x14ac:dyDescent="0.25">
      <c r="A1" s="2" t="s">
        <v>11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8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3"/>
    </row>
    <row r="3" spans="1:18" ht="45" x14ac:dyDescent="0.25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5" t="s">
        <v>5</v>
      </c>
      <c r="G3" s="5" t="s">
        <v>6</v>
      </c>
      <c r="H3" s="5" t="s">
        <v>7</v>
      </c>
      <c r="I3" s="5" t="s">
        <v>8</v>
      </c>
      <c r="J3" s="5" t="s">
        <v>9</v>
      </c>
      <c r="K3" s="5" t="s">
        <v>10</v>
      </c>
      <c r="O3" t="s">
        <v>44</v>
      </c>
      <c r="P3" t="s">
        <v>45</v>
      </c>
      <c r="Q3" t="s">
        <v>46</v>
      </c>
      <c r="R3" t="s">
        <v>47</v>
      </c>
    </row>
    <row r="4" spans="1:18" x14ac:dyDescent="0.25">
      <c r="A4" s="6" t="s">
        <v>12</v>
      </c>
      <c r="B4" s="4" t="s">
        <v>34</v>
      </c>
      <c r="C4" s="4" t="s">
        <v>22</v>
      </c>
      <c r="D4" s="4" t="s">
        <v>31</v>
      </c>
      <c r="E4" s="4">
        <v>40</v>
      </c>
      <c r="F4" s="4">
        <f>MIN(E4,40)*IF(D4="Grade-1",150,IF(D4="Grade-2 ",125, IF(D4="Grade-3 ",100)))</f>
        <v>6000</v>
      </c>
      <c r="G4" s="4">
        <f>IF(E4&gt;40,(E4-40)*200,0)</f>
        <v>0</v>
      </c>
      <c r="H4" s="7">
        <v>500</v>
      </c>
      <c r="I4" s="4">
        <f>SUM(F4:H4)</f>
        <v>6500</v>
      </c>
      <c r="J4" s="4">
        <f>I4*10%</f>
        <v>650</v>
      </c>
      <c r="K4" s="4">
        <f>I4-J4</f>
        <v>5850</v>
      </c>
      <c r="O4" t="b">
        <f>AND(LEN(B4)=7)</f>
        <v>1</v>
      </c>
      <c r="P4" t="str">
        <f>LEFT(B4,1)</f>
        <v>E</v>
      </c>
      <c r="Q4" t="b">
        <f>COUNTIF($B$4:$B$13,B4)=1</f>
        <v>1</v>
      </c>
      <c r="R4" t="b">
        <f>ISNUMBER(VALUE(RIGHT(B4,6)))</f>
        <v>1</v>
      </c>
    </row>
    <row r="5" spans="1:18" x14ac:dyDescent="0.25">
      <c r="A5" s="6" t="s">
        <v>13</v>
      </c>
      <c r="B5" s="4" t="s">
        <v>35</v>
      </c>
      <c r="C5" s="4" t="s">
        <v>23</v>
      </c>
      <c r="D5" s="4" t="s">
        <v>32</v>
      </c>
      <c r="E5" s="4">
        <v>55</v>
      </c>
      <c r="F5" s="4">
        <f t="shared" ref="F5:F13" si="0">MIN(E5,40)*IF(D5="Grade-1",150,IF(D5="Grade-2 ",125, IF(D5="Grade-3 ",100)))</f>
        <v>4000</v>
      </c>
      <c r="G5" s="4">
        <f t="shared" ref="G5:G13" si="1">IF(E5&gt;40,(E5-40)*200,0)</f>
        <v>3000</v>
      </c>
      <c r="H5" s="7">
        <v>500</v>
      </c>
      <c r="I5" s="4">
        <f t="shared" ref="I5:I13" si="2">SUM(F5:H5)</f>
        <v>7500</v>
      </c>
      <c r="J5" s="4">
        <f t="shared" ref="J5:J13" si="3">I5*10%</f>
        <v>750</v>
      </c>
      <c r="K5" s="4">
        <f t="shared" ref="K5:K13" si="4">I5-J5</f>
        <v>6750</v>
      </c>
    </row>
    <row r="6" spans="1:18" x14ac:dyDescent="0.25">
      <c r="A6" s="6" t="s">
        <v>14</v>
      </c>
      <c r="B6" s="4" t="s">
        <v>36</v>
      </c>
      <c r="C6" s="4" t="s">
        <v>24</v>
      </c>
      <c r="D6" s="4" t="s">
        <v>33</v>
      </c>
      <c r="E6" s="4">
        <v>43</v>
      </c>
      <c r="F6" s="4">
        <f t="shared" si="0"/>
        <v>5000</v>
      </c>
      <c r="G6" s="4">
        <f t="shared" si="1"/>
        <v>600</v>
      </c>
      <c r="H6" s="7">
        <v>500</v>
      </c>
      <c r="I6" s="4">
        <f t="shared" si="2"/>
        <v>6100</v>
      </c>
      <c r="J6" s="4">
        <f t="shared" si="3"/>
        <v>610</v>
      </c>
      <c r="K6" s="4">
        <f t="shared" si="4"/>
        <v>5490</v>
      </c>
    </row>
    <row r="7" spans="1:18" x14ac:dyDescent="0.25">
      <c r="A7" s="6" t="s">
        <v>15</v>
      </c>
      <c r="B7" s="4" t="s">
        <v>37</v>
      </c>
      <c r="C7" s="4" t="s">
        <v>25</v>
      </c>
      <c r="D7" s="4" t="s">
        <v>32</v>
      </c>
      <c r="E7" s="4">
        <v>44</v>
      </c>
      <c r="F7" s="4">
        <f t="shared" si="0"/>
        <v>4000</v>
      </c>
      <c r="G7" s="4">
        <f t="shared" si="1"/>
        <v>800</v>
      </c>
      <c r="H7" s="7">
        <v>500</v>
      </c>
      <c r="I7" s="4">
        <f t="shared" si="2"/>
        <v>5300</v>
      </c>
      <c r="J7" s="4">
        <f t="shared" si="3"/>
        <v>530</v>
      </c>
      <c r="K7" s="4">
        <f t="shared" si="4"/>
        <v>4770</v>
      </c>
    </row>
    <row r="8" spans="1:18" x14ac:dyDescent="0.25">
      <c r="A8" s="6" t="s">
        <v>16</v>
      </c>
      <c r="B8" s="4" t="s">
        <v>38</v>
      </c>
      <c r="C8" s="4" t="s">
        <v>26</v>
      </c>
      <c r="D8" s="4" t="s">
        <v>31</v>
      </c>
      <c r="E8" s="4">
        <v>48</v>
      </c>
      <c r="F8" s="4">
        <f t="shared" si="0"/>
        <v>6000</v>
      </c>
      <c r="G8" s="4">
        <f t="shared" si="1"/>
        <v>1600</v>
      </c>
      <c r="H8" s="7">
        <v>500</v>
      </c>
      <c r="I8" s="4">
        <f t="shared" si="2"/>
        <v>8100</v>
      </c>
      <c r="J8" s="4">
        <f t="shared" si="3"/>
        <v>810</v>
      </c>
      <c r="K8" s="4">
        <f t="shared" si="4"/>
        <v>7290</v>
      </c>
    </row>
    <row r="9" spans="1:18" x14ac:dyDescent="0.25">
      <c r="A9" s="6" t="s">
        <v>17</v>
      </c>
      <c r="B9" s="4" t="s">
        <v>39</v>
      </c>
      <c r="C9" s="4" t="s">
        <v>27</v>
      </c>
      <c r="D9" s="4" t="s">
        <v>32</v>
      </c>
      <c r="E9" s="4">
        <v>54</v>
      </c>
      <c r="F9" s="4">
        <f t="shared" si="0"/>
        <v>4000</v>
      </c>
      <c r="G9" s="4">
        <f t="shared" si="1"/>
        <v>2800</v>
      </c>
      <c r="H9" s="7">
        <v>500</v>
      </c>
      <c r="I9" s="4">
        <f t="shared" si="2"/>
        <v>7300</v>
      </c>
      <c r="J9" s="4">
        <f t="shared" si="3"/>
        <v>730</v>
      </c>
      <c r="K9" s="4">
        <f t="shared" si="4"/>
        <v>6570</v>
      </c>
    </row>
    <row r="10" spans="1:18" x14ac:dyDescent="0.25">
      <c r="A10" s="6" t="s">
        <v>18</v>
      </c>
      <c r="B10" s="4" t="s">
        <v>40</v>
      </c>
      <c r="C10" s="4" t="s">
        <v>28</v>
      </c>
      <c r="D10" s="4" t="s">
        <v>33</v>
      </c>
      <c r="E10" s="4">
        <v>45</v>
      </c>
      <c r="F10" s="4">
        <f t="shared" si="0"/>
        <v>5000</v>
      </c>
      <c r="G10" s="4">
        <f t="shared" si="1"/>
        <v>1000</v>
      </c>
      <c r="H10" s="7">
        <v>500</v>
      </c>
      <c r="I10" s="4">
        <f t="shared" si="2"/>
        <v>6500</v>
      </c>
      <c r="J10" s="4">
        <f t="shared" si="3"/>
        <v>650</v>
      </c>
      <c r="K10" s="4">
        <f t="shared" si="4"/>
        <v>5850</v>
      </c>
    </row>
    <row r="11" spans="1:18" x14ac:dyDescent="0.25">
      <c r="A11" s="6" t="s">
        <v>19</v>
      </c>
      <c r="B11" s="4" t="s">
        <v>41</v>
      </c>
      <c r="C11" s="4" t="s">
        <v>29</v>
      </c>
      <c r="D11" s="4" t="s">
        <v>32</v>
      </c>
      <c r="E11" s="4">
        <v>35</v>
      </c>
      <c r="F11" s="4">
        <f t="shared" si="0"/>
        <v>3500</v>
      </c>
      <c r="G11" s="4">
        <f t="shared" si="1"/>
        <v>0</v>
      </c>
      <c r="H11" s="7">
        <v>500</v>
      </c>
      <c r="I11" s="4">
        <f t="shared" si="2"/>
        <v>4000</v>
      </c>
      <c r="J11" s="4">
        <f t="shared" si="3"/>
        <v>400</v>
      </c>
      <c r="K11" s="4">
        <f t="shared" si="4"/>
        <v>3600</v>
      </c>
    </row>
    <row r="12" spans="1:18" x14ac:dyDescent="0.25">
      <c r="A12" s="6" t="s">
        <v>20</v>
      </c>
      <c r="B12" s="4" t="s">
        <v>42</v>
      </c>
      <c r="C12" s="4" t="s">
        <v>30</v>
      </c>
      <c r="D12" s="4" t="s">
        <v>33</v>
      </c>
      <c r="E12" s="4">
        <v>47</v>
      </c>
      <c r="F12" s="4">
        <f t="shared" si="0"/>
        <v>5000</v>
      </c>
      <c r="G12" s="4">
        <f t="shared" si="1"/>
        <v>1400</v>
      </c>
      <c r="H12" s="7">
        <v>500</v>
      </c>
      <c r="I12" s="4">
        <f t="shared" si="2"/>
        <v>6900</v>
      </c>
      <c r="J12" s="4">
        <f t="shared" si="3"/>
        <v>690</v>
      </c>
      <c r="K12" s="4">
        <f t="shared" si="4"/>
        <v>6210</v>
      </c>
    </row>
    <row r="13" spans="1:18" x14ac:dyDescent="0.25">
      <c r="A13" s="6" t="s">
        <v>21</v>
      </c>
      <c r="B13" s="4" t="s">
        <v>43</v>
      </c>
      <c r="C13" s="4" t="s">
        <v>29</v>
      </c>
      <c r="D13" s="4" t="s">
        <v>32</v>
      </c>
      <c r="E13" s="4">
        <v>49</v>
      </c>
      <c r="F13" s="4">
        <f t="shared" si="0"/>
        <v>4000</v>
      </c>
      <c r="G13" s="4">
        <f t="shared" si="1"/>
        <v>1800</v>
      </c>
      <c r="H13" s="7">
        <v>500</v>
      </c>
      <c r="I13" s="4">
        <f t="shared" si="2"/>
        <v>6300</v>
      </c>
      <c r="J13" s="4">
        <f t="shared" si="3"/>
        <v>630</v>
      </c>
      <c r="K13" s="4">
        <f t="shared" si="4"/>
        <v>5670</v>
      </c>
    </row>
    <row r="14" spans="1:18" x14ac:dyDescent="0.25">
      <c r="A14" s="1"/>
    </row>
    <row r="15" spans="1:18" x14ac:dyDescent="0.25">
      <c r="A15" s="1"/>
      <c r="D15" t="b">
        <f>AND(LEN(B4)=7,LEFT(B4,1)="E",COUNTIF($B$4:$B$13,B4)=1,ISNUMBER(VALUE(RIGHT(B4,6))))</f>
        <v>1</v>
      </c>
    </row>
    <row r="16" spans="1:18" x14ac:dyDescent="0.25">
      <c r="A16" s="1"/>
    </row>
    <row r="17" spans="1:1" x14ac:dyDescent="0.25">
      <c r="A17" s="1"/>
    </row>
  </sheetData>
  <mergeCells count="2">
    <mergeCell ref="A1:K1"/>
    <mergeCell ref="A2:J2"/>
  </mergeCells>
  <dataValidations count="2">
    <dataValidation type="list" allowBlank="1" showInputMessage="1" showErrorMessage="1" sqref="D4:D13">
      <formula1>"Grade-1, Grade-3 ,Grade-2 "</formula1>
    </dataValidation>
    <dataValidation type="custom" allowBlank="1" showInputMessage="1" showErrorMessage="1" sqref="B4:B13">
      <formula1>AND(LEN(B4)=7,LEFT(B4,1)="E",COUNTIF($B$4:$B$13,B4)=1,ISNUMBER(VALUE(RIGHT(B4,6))))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IMRAN</dc:creator>
  <cp:lastModifiedBy>IMRAN</cp:lastModifiedBy>
  <dcterms:created xsi:type="dcterms:W3CDTF">2025-11-03T19:05:09Z</dcterms:created>
  <dcterms:modified xsi:type="dcterms:W3CDTF">2025-11-03T19:42:30Z</dcterms:modified>
</cp:coreProperties>
</file>