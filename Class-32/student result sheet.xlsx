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32\"/>
    </mc:Choice>
  </mc:AlternateContent>
  <xr:revisionPtr revIDLastSave="0" documentId="13_ncr:1_{D17635B7-049C-41F4-B563-EF23AC08BC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 a="1"/>
  <c r="K6" i="1" s="1"/>
  <c r="K7" i="1" a="1"/>
  <c r="K7" i="1" s="1"/>
  <c r="K8" i="1" a="1"/>
  <c r="K8" i="1" s="1"/>
  <c r="K9" i="1" a="1"/>
  <c r="K9" i="1" s="1"/>
  <c r="K5" i="1" a="1"/>
  <c r="K5" i="1" s="1"/>
  <c r="J6" i="1" l="1"/>
  <c r="J7" i="1"/>
  <c r="J8" i="1"/>
  <c r="J9" i="1"/>
  <c r="J5" i="1"/>
  <c r="I5" i="1" l="1"/>
  <c r="I6" i="1"/>
  <c r="I7" i="1"/>
  <c r="I8" i="1"/>
  <c r="I9" i="1"/>
  <c r="P11" i="1" l="1"/>
  <c r="H6" i="1" a="1"/>
  <c r="H6" i="1" s="1"/>
  <c r="H7" i="1" a="1"/>
  <c r="H7" i="1" s="1"/>
  <c r="H8" i="1" a="1"/>
  <c r="H8" i="1" s="1"/>
  <c r="H9" i="1" a="1"/>
  <c r="H9" i="1" s="1"/>
  <c r="H5" i="1" a="1"/>
  <c r="H5" i="1" s="1"/>
  <c r="F6" i="1" a="1"/>
  <c r="F6" i="1" s="1"/>
  <c r="F7" i="1" a="1"/>
  <c r="F7" i="1" s="1"/>
  <c r="F8" i="1" a="1"/>
  <c r="F8" i="1" s="1"/>
  <c r="F9" i="1" a="1"/>
  <c r="F9" i="1" s="1"/>
  <c r="F5" i="1" a="1"/>
  <c r="F5" i="1" s="1"/>
  <c r="D5" i="1" a="1"/>
  <c r="D5" i="1" s="1"/>
  <c r="D6" i="1" a="1"/>
  <c r="D6" i="1" s="1"/>
  <c r="D7" i="1" a="1"/>
  <c r="D7" i="1" s="1"/>
  <c r="D8" i="1" a="1"/>
  <c r="D8" i="1" s="1"/>
  <c r="D9" i="1" a="1"/>
  <c r="D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<sst xmlns="http://schemas.openxmlformats.org/spreadsheetml/2006/main" count="28" uniqueCount="25">
  <si>
    <t>Student Result sheet</t>
  </si>
  <si>
    <t>Student
ID</t>
  </si>
  <si>
    <t>Student 
Name</t>
  </si>
  <si>
    <t>Marks</t>
  </si>
  <si>
    <t>Grade
Point</t>
  </si>
  <si>
    <t>Grade
point</t>
  </si>
  <si>
    <t>Total
Marks</t>
  </si>
  <si>
    <t>Grade Point
Avarage
(GPA)</t>
  </si>
  <si>
    <t>Latter
Grade</t>
  </si>
  <si>
    <t>Position
Rank</t>
  </si>
  <si>
    <t>Comment
(Pass,Fail,
Absent)</t>
  </si>
  <si>
    <t>Mathematics</t>
  </si>
  <si>
    <t>ICT</t>
  </si>
  <si>
    <t>Bangla</t>
  </si>
  <si>
    <t>V</t>
  </si>
  <si>
    <t>W</t>
  </si>
  <si>
    <t>X</t>
  </si>
  <si>
    <t>Y</t>
  </si>
  <si>
    <t>Z</t>
  </si>
  <si>
    <t>Abs</t>
  </si>
  <si>
    <t>S10001</t>
  </si>
  <si>
    <t>S10002</t>
  </si>
  <si>
    <t>S10003</t>
  </si>
  <si>
    <t>S10004</t>
  </si>
  <si>
    <t>S10005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</si>
</sst>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N8" sqref="N8"/>
    </sheetView>
  </sheetViews>
  <sheetFormatPr defaultRowHeight="14.5" x14ac:dyDescent="0.35"/>
  <cols>
    <col min="10" max="10" width="9.36328125" bestFit="1" customWidth="1"/>
  </cols>
  <sheetData>
    <row r="1" spans="1:16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6" x14ac:dyDescent="0.35">
      <c r="A3" s="1"/>
      <c r="B3" s="1"/>
      <c r="C3" s="4" t="s">
        <v>11</v>
      </c>
      <c r="D3" s="4"/>
      <c r="E3" s="4" t="s">
        <v>12</v>
      </c>
      <c r="F3" s="4"/>
      <c r="G3" s="4" t="s">
        <v>13</v>
      </c>
      <c r="H3" s="4"/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</row>
    <row r="4" spans="1:16" ht="72.5" customHeight="1" x14ac:dyDescent="0.35">
      <c r="A4" s="2" t="s">
        <v>1</v>
      </c>
      <c r="B4" s="2" t="s">
        <v>2</v>
      </c>
      <c r="C4" s="1" t="s">
        <v>3</v>
      </c>
      <c r="D4" s="2" t="s">
        <v>4</v>
      </c>
      <c r="E4" s="2" t="s">
        <v>3</v>
      </c>
      <c r="F4" s="2" t="s">
        <v>5</v>
      </c>
      <c r="G4" s="2" t="s">
        <v>3</v>
      </c>
      <c r="H4" s="2" t="s">
        <v>5</v>
      </c>
      <c r="I4" s="3"/>
      <c r="J4" s="3"/>
      <c r="K4" s="3"/>
      <c r="L4" s="3"/>
      <c r="M4" s="3"/>
    </row>
    <row r="5" spans="1:16" x14ac:dyDescent="0.35">
      <c r="A5" s="1" t="s">
        <v>20</v>
      </c>
      <c r="B5" s="1" t="s">
        <v>14</v>
      </c>
      <c r="C5" s="1">
        <v>75</v>
      </c>
      <c r="D5" s="1" cm="1">
        <f t="array" ref="D5">IF(C5="Abs","Absent",_xlfn.IFS(C5&gt;=80,5,C5&gt;=70,4,C5&gt;=60,3,C5&gt;=50,2,C5&lt;50,0))</f>
        <v>4</v>
      </c>
      <c r="E5" s="1">
        <v>78</v>
      </c>
      <c r="F5" s="1" cm="1">
        <f t="array" ref="F5">IF(E5="Abs","Absent",_xlfn.IFS(E5&gt;=80,5,E5&gt;=70,4,E5&gt;=60,3,E5&gt;=50,2,E5&lt;50,0))</f>
        <v>4</v>
      </c>
      <c r="G5" s="1">
        <v>43</v>
      </c>
      <c r="H5" s="1" cm="1">
        <f t="array" ref="H5">IF(G5="Abs","Absent",_xlfn.IFS(G5&gt;=80,5,G5&gt;=70,4,G5&gt;=60,3,G5&gt;=50,2,G5&lt;50,0))</f>
        <v>0</v>
      </c>
      <c r="I5" s="1">
        <f>IF(OR(C5="Abs",E5="Abs",G5="Abs"),"Absent",SUM(C5,E5,G5))</f>
        <v>196</v>
      </c>
      <c r="J5" s="5">
        <f>IF(OR(D5="Absent",F5="Absent",H5="Absent"),"Absent",AVERAGE(D5,F5,H5))</f>
        <v>2.6666666666666665</v>
      </c>
      <c r="K5" s="1" t="str" cm="1">
        <f t="array" ref="K5">IF(J5="Absent","Absent",_xlfn.IFS(J5=5,"A+",J5&gt;=4,"A",J5&gt;=3,"B",J5&gt;=2,"C",J5&lt;2,"F"))</f>
        <v>C</v>
      </c>
      <c r="L5" s="1"/>
      <c r="M5" s="1"/>
    </row>
    <row r="6" spans="1:16" x14ac:dyDescent="0.35">
      <c r="A6" s="1" t="s">
        <v>21</v>
      </c>
      <c r="B6" s="1" t="s">
        <v>15</v>
      </c>
      <c r="C6" s="1">
        <v>35</v>
      </c>
      <c r="D6" s="1" cm="1">
        <f t="array" ref="D6">IF(C6="Abs","Absent",_xlfn.IFS(C6&gt;=80,5,C6&gt;=70,4,C6&gt;=60,3,C6&gt;=50,2,C6&lt;50,0))</f>
        <v>0</v>
      </c>
      <c r="E6" s="1" t="s">
        <v>19</v>
      </c>
      <c r="F6" s="1" t="str" cm="1">
        <f t="array" ref="F6">IF(E6="Abs","Absent",_xlfn.IFS(E6&gt;=80,5,E6&gt;=70,4,E6&gt;=60,3,E6&gt;=50,2,E6&lt;50,0))</f>
        <v>Absent</v>
      </c>
      <c r="G6" s="1">
        <v>81</v>
      </c>
      <c r="H6" s="1" cm="1">
        <f t="array" ref="H6">IF(G6="Abs","Absent",_xlfn.IFS(G6&gt;=80,5,G6&gt;=70,4,G6&gt;=60,3,G6&gt;=50,2,G6&lt;50,0))</f>
        <v>5</v>
      </c>
      <c r="I6" s="1" t="str">
        <f t="shared" ref="I6:I9" si="0">IF(OR(C6="Abs",E6="Abs",G6="Abs"),"Absent",SUM(C6,E6,G6))</f>
        <v>Absent</v>
      </c>
      <c r="J6" s="5" t="str">
        <f t="shared" ref="J6:J9" si="1">IF(OR(D6="Absent",F6="Absent",H6="Absent"),"Absent",AVERAGE(D6,F6,H6))</f>
        <v>Absent</v>
      </c>
      <c r="K6" s="1" t="str" cm="1">
        <f t="array" ref="K6">IF(J6="Absent","Absent",_xlfn.IFS(J6=5,"A+",J6&gt;=4,"A",J6&gt;=3,"B",J6&gt;=2,"C",J6&lt;2,"F"))</f>
        <v>Absent</v>
      </c>
      <c r="L6" s="1"/>
      <c r="M6" s="1"/>
    </row>
    <row r="7" spans="1:16" x14ac:dyDescent="0.35">
      <c r="A7" s="1" t="s">
        <v>22</v>
      </c>
      <c r="B7" s="1" t="s">
        <v>16</v>
      </c>
      <c r="C7" s="1">
        <v>16</v>
      </c>
      <c r="D7" s="1" cm="1">
        <f t="array" ref="D7">IF(C7="Abs","Absent",_xlfn.IFS(C7&gt;=80,5,C7&gt;=70,4,C7&gt;=60,3,C7&gt;=50,2,C7&lt;50,0))</f>
        <v>0</v>
      </c>
      <c r="E7" s="1">
        <v>60</v>
      </c>
      <c r="F7" s="1" cm="1">
        <f t="array" ref="F7">IF(E7="Abs","Absent",_xlfn.IFS(E7&gt;=80,5,E7&gt;=70,4,E7&gt;=60,3,E7&gt;=50,2,E7&lt;50,0))</f>
        <v>3</v>
      </c>
      <c r="G7" s="1">
        <v>60</v>
      </c>
      <c r="H7" s="1" cm="1">
        <f t="array" ref="H7">IF(G7="Abs","Absent",_xlfn.IFS(G7&gt;=80,5,G7&gt;=70,4,G7&gt;=60,3,G7&gt;=50,2,G7&lt;50,0))</f>
        <v>3</v>
      </c>
      <c r="I7" s="1">
        <f t="shared" si="0"/>
        <v>136</v>
      </c>
      <c r="J7" s="5">
        <f t="shared" si="1"/>
        <v>2</v>
      </c>
      <c r="K7" s="1" t="str" cm="1">
        <f t="array" ref="K7">IF(J7="Absent","Absent",_xlfn.IFS(J7=5,"A+",J7&gt;=4,"A",J7&gt;=3,"B",J7&gt;=2,"C",J7&lt;2,"F"))</f>
        <v>C</v>
      </c>
      <c r="L7" s="1"/>
      <c r="M7" s="1"/>
    </row>
    <row r="8" spans="1:16" x14ac:dyDescent="0.35">
      <c r="A8" s="1" t="s">
        <v>23</v>
      </c>
      <c r="B8" s="1" t="s">
        <v>17</v>
      </c>
      <c r="C8" s="1">
        <v>55</v>
      </c>
      <c r="D8" s="1" cm="1">
        <f t="array" ref="D8">IF(C8="Abs","Absent",_xlfn.IFS(C8&gt;=80,5,C8&gt;=70,4,C8&gt;=60,3,C8&gt;=50,2,C8&lt;50,0))</f>
        <v>2</v>
      </c>
      <c r="E8" s="1">
        <v>63</v>
      </c>
      <c r="F8" s="1" cm="1">
        <f t="array" ref="F8">IF(E8="Abs","Absent",_xlfn.IFS(E8&gt;=80,5,E8&gt;=70,4,E8&gt;=60,3,E8&gt;=50,2,E8&lt;50,0))</f>
        <v>3</v>
      </c>
      <c r="G8" s="1">
        <v>53</v>
      </c>
      <c r="H8" s="1" cm="1">
        <f t="array" ref="H8">IF(G8="Abs","Absent",_xlfn.IFS(G8&gt;=80,5,G8&gt;=70,4,G8&gt;=60,3,G8&gt;=50,2,G8&lt;50,0))</f>
        <v>2</v>
      </c>
      <c r="I8" s="1">
        <f t="shared" si="0"/>
        <v>171</v>
      </c>
      <c r="J8" s="5">
        <f t="shared" si="1"/>
        <v>2.3333333333333335</v>
      </c>
      <c r="K8" s="1" t="str" cm="1">
        <f t="array" ref="K8">IF(J8="Absent","Absent",_xlfn.IFS(J8=5,"A+",J8&gt;=4,"A",J8&gt;=3,"B",J8&gt;=2,"C",J8&lt;2,"F"))</f>
        <v>C</v>
      </c>
      <c r="L8" s="1"/>
      <c r="M8" s="1"/>
    </row>
    <row r="9" spans="1:16" x14ac:dyDescent="0.35">
      <c r="A9" s="1" t="s">
        <v>24</v>
      </c>
      <c r="B9" s="1" t="s">
        <v>18</v>
      </c>
      <c r="C9" s="1">
        <v>99</v>
      </c>
      <c r="D9" s="1" cm="1">
        <f t="array" ref="D9">IF(C9="Abs","Absent",_xlfn.IFS(C9&gt;=80,5,C9&gt;=70,4,C9&gt;=60,3,C9&gt;=50,2,C9&lt;50,0))</f>
        <v>5</v>
      </c>
      <c r="E9" s="1">
        <v>75</v>
      </c>
      <c r="F9" s="1" cm="1">
        <f t="array" ref="F9">IF(E9="Abs","Absent",_xlfn.IFS(E9&gt;=80,5,E9&gt;=70,4,E9&gt;=60,3,E9&gt;=50,2,E9&lt;50,0))</f>
        <v>4</v>
      </c>
      <c r="G9" s="1">
        <v>74</v>
      </c>
      <c r="H9" s="1" cm="1">
        <f t="array" ref="H9">IF(G9="Abs","Absent",_xlfn.IFS(G9&gt;=80,5,G9&gt;=70,4,G9&gt;=60,3,G9&gt;=50,2,G9&lt;50,0))</f>
        <v>4</v>
      </c>
      <c r="I9" s="1">
        <f t="shared" si="0"/>
        <v>248</v>
      </c>
      <c r="J9" s="5">
        <f t="shared" si="1"/>
        <v>4.333333333333333</v>
      </c>
      <c r="K9" s="1" t="str" cm="1">
        <f t="array" ref="K9">IF(J9="Absent","Absent",_xlfn.IFS(J9=5,"A+",J9&gt;=4,"A",J9&gt;=3,"B",J9&gt;=2,"C",J9&lt;2,"F"))</f>
        <v>A</v>
      </c>
      <c r="L9" s="1"/>
      <c r="M9" s="1"/>
    </row>
    <row r="11" spans="1:16" x14ac:dyDescent="0.35">
      <c r="P11" t="b">
        <f>AND(LEFT(A5,1)="S",LEN(A5)=6, COUNTIF($A$5:$A$9,A5)=1, ISNUMBER(VALUE(RIGHT(A5,5))))</f>
        <v>1</v>
      </c>
    </row>
  </sheetData>
  <mergeCells count="10">
    <mergeCell ref="L3:L4"/>
    <mergeCell ref="M3:M4"/>
    <mergeCell ref="A1:M1"/>
    <mergeCell ref="A2:M2"/>
    <mergeCell ref="C3:D3"/>
    <mergeCell ref="E3:F3"/>
    <mergeCell ref="G3:H3"/>
    <mergeCell ref="I3:I4"/>
    <mergeCell ref="J3:J4"/>
    <mergeCell ref="K3:K4"/>
  </mergeCells>
  <phoneticPr fontId="1" type="noConversion"/>
  <dataValidations count="2">
    <dataValidation type="custom" allowBlank="1" showInputMessage="1" showErrorMessage="1" sqref="A6:A9" xr:uid="{AC56C786-90CD-4075-A79F-9ED3B12801A8}">
      <formula1>AND(LEFT(A6,1)="S",LEN(A6)=6, COUNTIF($A$5:$A$9,A6)=1, ISNUMBER(VALUE(RIGHT(A6,5))))</formula1>
    </dataValidation>
    <dataValidation type="custom" allowBlank="1" showInputMessage="1" showErrorMessage="1" sqref="A5" xr:uid="{09E50872-5D38-422F-8D3B-D78CD033F140}">
      <formula1>AND(LEFT(A5,1)="S",LEN(A5)=6, COUNTIF($A$5:$A$9,A5)=1, ISNUMBER(VALUE(RIGHT(A5,5))))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2026-03-01T10:00:52Z</dcterms:modified>
</cp:coreProperties>
</file>